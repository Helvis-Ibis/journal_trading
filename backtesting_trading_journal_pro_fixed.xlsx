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journal_trading\"/>
    </mc:Choice>
  </mc:AlternateContent>
  <bookViews>
    <workbookView xWindow="-120" yWindow="-120" windowWidth="20730" windowHeight="11760" tabRatio="500"/>
  </bookViews>
  <sheets>
    <sheet name="Trading Journal" sheetId="1" r:id="rId1"/>
    <sheet name="Statistiques" sheetId="2" r:id="rId2"/>
  </sheet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4" i="1" l="1"/>
  <c r="B12" i="2" l="1"/>
  <c r="B11" i="2"/>
  <c r="B10" i="2"/>
  <c r="B7" i="2"/>
  <c r="B5" i="2"/>
  <c r="B4" i="2"/>
  <c r="B3" i="2"/>
  <c r="B2" i="2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3" i="1"/>
  <c r="K2" i="1"/>
  <c r="B9" i="2" l="1"/>
  <c r="B8" i="2"/>
  <c r="B6" i="2"/>
</calcChain>
</file>

<file path=xl/sharedStrings.xml><?xml version="1.0" encoding="utf-8"?>
<sst xmlns="http://schemas.openxmlformats.org/spreadsheetml/2006/main" count="57" uniqueCount="48">
  <si>
    <t>Date</t>
  </si>
  <si>
    <t>Paire</t>
  </si>
  <si>
    <t>Timeframe</t>
  </si>
  <si>
    <t>Stratégie / Setup</t>
  </si>
  <si>
    <t>Type (Buy/Sell)</t>
  </si>
  <si>
    <t>Risk Amount</t>
  </si>
  <si>
    <t>Risk/Reward</t>
  </si>
  <si>
    <t>Résultat (Win/Loss)</t>
  </si>
  <si>
    <t>Pips</t>
  </si>
  <si>
    <t>Capital Avant ($)</t>
  </si>
  <si>
    <t>Capital Après ($)</t>
  </si>
  <si>
    <t>Notes</t>
  </si>
  <si>
    <t>État Émotionnel</t>
  </si>
  <si>
    <t>12/03/2026</t>
  </si>
  <si>
    <t>EURJPY</t>
  </si>
  <si>
    <t xml:space="preserve">Daily , H4 , H1, M15 ,M5 </t>
  </si>
  <si>
    <t>Heltrading ( DKH )</t>
  </si>
  <si>
    <t>Sell</t>
  </si>
  <si>
    <t>01:03</t>
  </si>
  <si>
    <t>Win</t>
  </si>
  <si>
    <t>Patient , calme</t>
  </si>
  <si>
    <t>15/03/2026</t>
  </si>
  <si>
    <t>BTCUSD</t>
  </si>
  <si>
    <t>Buy</t>
  </si>
  <si>
    <t>01:04</t>
  </si>
  <si>
    <t>CADJPY</t>
  </si>
  <si>
    <t>01:02</t>
  </si>
  <si>
    <t>En cours</t>
  </si>
  <si>
    <t>📊 Statistiques Trading</t>
  </si>
  <si>
    <t>Total Trades</t>
  </si>
  <si>
    <t>Trades Gagnants ✅</t>
  </si>
  <si>
    <t>Trades Perdants ❌</t>
  </si>
  <si>
    <t>En cours ⏳</t>
  </si>
  <si>
    <t>Win Rate (%)</t>
  </si>
  <si>
    <t>Capital Initial ($)</t>
  </si>
  <si>
    <t>Capital Actuel ($)</t>
  </si>
  <si>
    <t>Profit Total ($)</t>
  </si>
  <si>
    <t>Risque Moyen ($)</t>
  </si>
  <si>
    <t>Total Pips</t>
  </si>
  <si>
    <t>Meilleur RR</t>
  </si>
  <si>
    <t>Loss</t>
  </si>
  <si>
    <t>US30</t>
  </si>
  <si>
    <t>Daily , H4 , H1, M15 ,M5</t>
  </si>
  <si>
    <t>Name Screenshot</t>
  </si>
  <si>
    <t>BTCUSD_2026-03-15 042122</t>
  </si>
  <si>
    <t>CADJPY_2026-03-17 042232</t>
  </si>
  <si>
    <t>EURJPY_2026-03-13 041840</t>
  </si>
  <si>
    <t>US30_2026-03-18 041657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</si>
</sst>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26" x14ac:knownFonts="1">
    <font>
      <sz val="11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/>
      <sz val="18"/>
      <color theme="1"/>
      <name val="Calibri"/>
      <family val="2"/>
      <charset val="1"/>
    </font>
    <font>
      <b/>
      <sz val="11"/>
      <color rgb="FFFFFFFF"/>
      <name val="Calibri"/>
      <charset val="1"/>
    </font>
    <font>
      <b/>
      <sz val="10"/>
      <color rgb="FF1F4E78"/>
      <name val="Calibri"/>
      <charset val="1"/>
    </font>
    <font>
      <sz val="10"/>
      <color rgb="FF555555"/>
      <name val="Calibri"/>
      <charset val="1"/>
    </font>
    <font>
      <b/>
      <sz val="10"/>
      <color rgb="FFB71C1C"/>
      <name val="Calibri"/>
      <charset val="1"/>
    </font>
    <font>
      <b/>
      <sz val="10"/>
      <color rgb="FF2E7D32"/>
      <name val="Calibri"/>
      <charset val="1"/>
    </font>
    <font>
      <b/>
      <sz val="10"/>
      <color rgb="FF555555"/>
      <name val="Calibri"/>
      <charset val="1"/>
    </font>
    <font>
      <b/>
      <sz val="10"/>
      <color rgb="FF0D47A1"/>
      <name val="Calibri"/>
      <charset val="1"/>
    </font>
    <font>
      <sz val="10"/>
      <color rgb="FF1565C0"/>
      <name val="Calibri"/>
      <charset val="1"/>
    </font>
    <font>
      <b/>
      <sz val="10"/>
      <color rgb="FF6A1B9A"/>
      <name val="Calibri"/>
      <charset val="1"/>
    </font>
    <font>
      <b/>
      <sz val="10"/>
      <color rgb="FF1B5E20"/>
      <name val="Calibri"/>
      <charset val="1"/>
    </font>
    <font>
      <sz val="10"/>
      <color rgb="FF6A1B9A"/>
      <name val="Calibri"/>
      <charset val="1"/>
    </font>
    <font>
      <sz val="10"/>
      <color rgb="FF0D47A1"/>
      <name val="Calibri"/>
      <charset val="1"/>
    </font>
    <font>
      <b/>
      <sz val="13"/>
      <color rgb="FFFFFFFF"/>
      <name val="Calibri"/>
      <charset val="1"/>
    </font>
    <font>
      <b/>
      <sz val="11"/>
      <color rgb="FF1F4E78"/>
      <name val="Calibri"/>
      <charset val="1"/>
    </font>
    <font>
      <b/>
      <sz val="11"/>
      <color rgb="FF2E7D32"/>
      <name val="Calibri"/>
      <charset val="1"/>
    </font>
    <font>
      <b/>
      <sz val="11"/>
      <color rgb="FFC62828"/>
      <name val="Calibri"/>
      <charset val="1"/>
    </font>
    <font>
      <b/>
      <sz val="11"/>
      <color rgb="FFF57F17"/>
      <name val="Calibri"/>
      <charset val="1"/>
    </font>
    <font>
      <b/>
      <sz val="11"/>
      <color rgb="FF555555"/>
      <name val="Calibri"/>
      <charset val="1"/>
    </font>
    <font>
      <b/>
      <sz val="11"/>
      <color rgb="FF0D47A1"/>
      <name val="Calibri"/>
      <charset val="1"/>
    </font>
    <font>
      <sz val="10"/>
      <color rgb="FF555555"/>
      <name val="Calibri"/>
      <family val="2"/>
      <charset val="1"/>
    </font>
    <font>
      <b/>
      <sz val="10"/>
      <color rgb="FFF57F17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D47A1"/>
      </patternFill>
    </fill>
    <fill>
      <patternFill patternType="solid">
        <fgColor rgb="FFE8F5E9"/>
        <bgColor rgb="FFEEF2FF"/>
      </patternFill>
    </fill>
    <fill>
      <patternFill patternType="solid">
        <fgColor rgb="FFFFFDE7"/>
        <bgColor rgb="FFFFFFFF"/>
      </patternFill>
    </fill>
    <fill>
      <patternFill patternType="solid">
        <fgColor rgb="FFFFFFFF"/>
        <bgColor rgb="FFF5F8FF"/>
      </patternFill>
    </fill>
    <fill>
      <patternFill patternType="solid">
        <fgColor rgb="FFF5F8FF"/>
        <bgColor rgb="FFEEF2FF"/>
      </patternFill>
    </fill>
    <fill>
      <patternFill patternType="solid">
        <fgColor rgb="FFEEF2FF"/>
        <bgColor rgb="FFF5F8F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left" vertical="center"/>
    </xf>
    <xf numFmtId="0" fontId="18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 wrapText="1"/>
    </xf>
    <xf numFmtId="14" fontId="7" fillId="5" borderId="1" xfId="0" applyNumberFormat="1" applyFont="1" applyFill="1" applyBorder="1" applyAlignment="1">
      <alignment horizontal="center" vertical="center" wrapText="1"/>
    </xf>
    <xf numFmtId="20" fontId="7" fillId="5" borderId="1" xfId="0" applyNumberFormat="1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14">
    <dxf>
      <font>
        <b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</font>
      <fill>
        <patternFill>
          <bgColor rgb="FF00B050"/>
        </patternFill>
      </fill>
    </dxf>
    <dxf>
      <font>
        <b/>
      </font>
      <fill>
        <patternFill>
          <bgColor rgb="FFC00000"/>
        </patternFill>
      </fill>
    </dxf>
    <dxf>
      <font>
        <b/>
        <color rgb="FF00B050"/>
      </font>
    </dxf>
    <dxf>
      <font>
        <b/>
        <color rgb="FFFF0000"/>
      </font>
    </dxf>
    <dxf>
      <font>
        <color rgb="FFFF0000"/>
      </font>
    </dxf>
    <dxf>
      <font>
        <b/>
      </font>
      <fill>
        <patternFill>
          <bgColor rgb="FF00B050"/>
        </patternFill>
      </fill>
    </dxf>
    <dxf>
      <font>
        <b/>
      </font>
      <fill>
        <patternFill>
          <bgColor rgb="FFC00000"/>
        </patternFill>
      </fill>
    </dxf>
    <dxf>
      <font>
        <color rgb="FFFFFFFF"/>
      </font>
      <fill>
        <patternFill>
          <bgColor rgb="FF00B05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00B050"/>
        </patternFill>
      </fill>
    </dxf>
    <dxf>
      <font>
        <b/>
        <color rgb="FFFFFFFF"/>
      </font>
      <fill>
        <patternFill>
          <bgColor theme="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1B5E20"/>
      <rgbColor rgb="FF000080"/>
      <rgbColor rgb="FF808000"/>
      <rgbColor rgb="FF6A1B9A"/>
      <rgbColor rgb="FF00B050"/>
      <rgbColor rgb="FFBDBDBD"/>
      <rgbColor rgb="FF808080"/>
      <rgbColor rgb="FF9999FF"/>
      <rgbColor rgb="FFC62828"/>
      <rgbColor rgb="FFFFFDE7"/>
      <rgbColor rgb="FFE8F5E9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F5F8F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57F17"/>
      <rgbColor rgb="FF4F81BD"/>
      <rgbColor rgb="FF969696"/>
      <rgbColor rgb="FF0D47A1"/>
      <rgbColor rgb="FF2E7D32"/>
      <rgbColor rgb="FF003300"/>
      <rgbColor rgb="FF333300"/>
      <rgbColor rgb="FFB71C1C"/>
      <rgbColor rgb="FF993366"/>
      <rgbColor rgb="FF1F4E78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JournalTrading" displayName="JournalTrading" ref="A1:N200" totalsRowShown="0">
  <autoFilter ref="A1:N200"/>
  <tableColumns count="14">
    <tableColumn id="1" name="Date"/>
    <tableColumn id="2" name="Paire"/>
    <tableColumn id="3" name="Timeframe"/>
    <tableColumn id="4" name="Stratégie / Setup"/>
    <tableColumn id="5" name="Type (Buy/Sell)"/>
    <tableColumn id="6" name="Risk Amount"/>
    <tableColumn id="7" name="Risk/Reward"/>
    <tableColumn id="8" name="Résultat (Win/Loss)"/>
    <tableColumn id="9" name="Pips"/>
    <tableColumn id="10" name="Capital Avant ($)"/>
    <tableColumn id="11" name="Capital Après ($)"/>
    <tableColumn id="12" name="Name Screenshot"/>
    <tableColumn id="13" name="Notes"/>
    <tableColumn id="14" name="État Émotionne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1"/>
  <sheetViews>
    <sheetView showGridLines="0" tabSelected="1" zoomScale="85" zoomScaleNormal="85" workbookViewId="0">
      <pane ySplit="1" topLeftCell="A2" activePane="bottomLeft" state="frozen"/>
      <selection pane="bottomLeft" activeCell="L10" sqref="L10"/>
    </sheetView>
  </sheetViews>
  <sheetFormatPr baseColWidth="10" defaultColWidth="9.140625" defaultRowHeight="23.25" x14ac:dyDescent="0.35"/>
  <cols>
    <col min="1" max="1" width="14" style="1" customWidth="1"/>
    <col min="2" max="2" width="10" style="2" customWidth="1"/>
    <col min="3" max="3" width="28" style="3" customWidth="1"/>
    <col min="4" max="4" width="20" style="4" customWidth="1"/>
    <col min="5" max="5" width="14" style="1" customWidth="1"/>
    <col min="6" max="6" width="13" style="5" customWidth="1"/>
    <col min="7" max="7" width="12" style="1" customWidth="1"/>
    <col min="8" max="8" width="16" customWidth="1"/>
    <col min="9" max="9" width="9.28515625" style="1" customWidth="1"/>
    <col min="10" max="11" width="15" style="5" customWidth="1"/>
    <col min="12" max="14" width="32" style="1" customWidth="1"/>
  </cols>
  <sheetData>
    <row r="1" spans="1:14" ht="36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43</v>
      </c>
      <c r="M1" s="6" t="s">
        <v>11</v>
      </c>
      <c r="N1" s="6" t="s">
        <v>12</v>
      </c>
    </row>
    <row r="2" spans="1:14" ht="24" customHeight="1" x14ac:dyDescent="0.25">
      <c r="A2" s="7" t="s">
        <v>13</v>
      </c>
      <c r="B2" s="8" t="s">
        <v>14</v>
      </c>
      <c r="C2" s="9" t="s">
        <v>15</v>
      </c>
      <c r="D2" s="9" t="s">
        <v>16</v>
      </c>
      <c r="E2" s="10" t="s">
        <v>17</v>
      </c>
      <c r="F2" s="9">
        <v>2</v>
      </c>
      <c r="G2" s="11" t="s">
        <v>18</v>
      </c>
      <c r="H2" s="12" t="s">
        <v>19</v>
      </c>
      <c r="I2" s="9">
        <v>149</v>
      </c>
      <c r="J2" s="13">
        <v>20</v>
      </c>
      <c r="K2" s="14">
        <f t="shared" ref="K2:K33" si="0">IF(H2="","",IF(H2="Win",J2+(F2*VALUE(RIGHT(G2,1))),IF(H2="Loss",J2-F2,IF(H2="En cours","En cours",J2))))</f>
        <v>26</v>
      </c>
      <c r="L2" s="15" t="s">
        <v>46</v>
      </c>
      <c r="M2" s="16"/>
      <c r="N2" s="17" t="s">
        <v>20</v>
      </c>
    </row>
    <row r="3" spans="1:14" ht="24" customHeight="1" x14ac:dyDescent="0.25">
      <c r="A3" s="7" t="s">
        <v>21</v>
      </c>
      <c r="B3" s="8" t="s">
        <v>22</v>
      </c>
      <c r="C3" s="9" t="s">
        <v>15</v>
      </c>
      <c r="D3" s="9" t="s">
        <v>16</v>
      </c>
      <c r="E3" s="18" t="s">
        <v>23</v>
      </c>
      <c r="F3" s="9">
        <v>6</v>
      </c>
      <c r="G3" s="11" t="s">
        <v>24</v>
      </c>
      <c r="H3" s="12" t="s">
        <v>19</v>
      </c>
      <c r="I3" s="9">
        <v>258</v>
      </c>
      <c r="J3" s="13">
        <v>30</v>
      </c>
      <c r="K3" s="14">
        <f t="shared" si="0"/>
        <v>54</v>
      </c>
      <c r="L3" s="15" t="s">
        <v>44</v>
      </c>
      <c r="M3" s="16"/>
      <c r="N3" s="17" t="s">
        <v>20</v>
      </c>
    </row>
    <row r="4" spans="1:14" ht="24" customHeight="1" x14ac:dyDescent="0.25">
      <c r="A4" s="39">
        <v>46097</v>
      </c>
      <c r="B4" s="19" t="s">
        <v>25</v>
      </c>
      <c r="C4" s="20" t="s">
        <v>15</v>
      </c>
      <c r="D4" s="20" t="s">
        <v>16</v>
      </c>
      <c r="E4" s="21" t="s">
        <v>23</v>
      </c>
      <c r="F4" s="20">
        <v>4.97</v>
      </c>
      <c r="G4" s="22" t="s">
        <v>26</v>
      </c>
      <c r="H4" s="43" t="s">
        <v>40</v>
      </c>
      <c r="I4" s="20">
        <v>88</v>
      </c>
      <c r="J4" s="23">
        <v>54</v>
      </c>
      <c r="K4" s="24">
        <f>IF(H4="","",IF(H4="Win",J4+(F4*VALUE(RIGHT(G4,1))),IF(H4="Loss",J4-F4,IF(H4="En cours","En cours",J4))))</f>
        <v>49.03</v>
      </c>
      <c r="L4" s="25" t="s">
        <v>45</v>
      </c>
      <c r="M4" s="26"/>
      <c r="N4" s="27"/>
    </row>
    <row r="5" spans="1:14" ht="21.75" customHeight="1" x14ac:dyDescent="0.25">
      <c r="A5" s="40">
        <v>46097</v>
      </c>
      <c r="B5" s="28" t="s">
        <v>41</v>
      </c>
      <c r="C5" s="28" t="s">
        <v>42</v>
      </c>
      <c r="D5" s="28" t="s">
        <v>16</v>
      </c>
      <c r="E5" s="28" t="s">
        <v>23</v>
      </c>
      <c r="F5" s="28">
        <v>16.84</v>
      </c>
      <c r="G5" s="41">
        <v>5.486111111111111E-2</v>
      </c>
      <c r="H5" s="42" t="s">
        <v>27</v>
      </c>
      <c r="I5" s="28">
        <v>377749</v>
      </c>
      <c r="J5" s="28">
        <v>49.03</v>
      </c>
      <c r="K5" s="29" t="str">
        <f t="shared" si="0"/>
        <v>En cours</v>
      </c>
      <c r="L5" s="28" t="s">
        <v>47</v>
      </c>
      <c r="M5" s="28"/>
      <c r="N5" s="28"/>
    </row>
    <row r="6" spans="1:14" ht="21.75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1" t="str">
        <f t="shared" si="0"/>
        <v/>
      </c>
      <c r="L6" s="30"/>
      <c r="M6" s="30"/>
      <c r="N6" s="30"/>
    </row>
    <row r="7" spans="1:14" ht="21.75" customHeight="1" x14ac:dyDescent="0.25">
      <c r="A7" s="28"/>
      <c r="B7" s="28"/>
      <c r="C7" s="28"/>
      <c r="D7" s="28"/>
      <c r="E7" s="28"/>
      <c r="F7" s="28"/>
      <c r="G7" s="28"/>
      <c r="H7" s="28"/>
      <c r="I7" s="28"/>
      <c r="J7" s="28"/>
      <c r="K7" s="29" t="str">
        <f t="shared" si="0"/>
        <v/>
      </c>
      <c r="L7" s="28"/>
      <c r="M7" s="28"/>
      <c r="N7" s="28"/>
    </row>
    <row r="8" spans="1:14" ht="21.75" customHeight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1" t="str">
        <f t="shared" si="0"/>
        <v/>
      </c>
      <c r="L8" s="30"/>
      <c r="M8" s="30"/>
      <c r="N8" s="30"/>
    </row>
    <row r="9" spans="1:14" ht="21.75" customHeight="1" x14ac:dyDescent="0.25">
      <c r="A9" s="28"/>
      <c r="B9" s="28"/>
      <c r="C9" s="28"/>
      <c r="D9" s="28"/>
      <c r="E9" s="28"/>
      <c r="F9" s="28"/>
      <c r="G9" s="28"/>
      <c r="H9" s="28"/>
      <c r="I9" s="28"/>
      <c r="J9" s="28"/>
      <c r="K9" s="29" t="str">
        <f t="shared" si="0"/>
        <v/>
      </c>
      <c r="L9" s="28"/>
      <c r="M9" s="28"/>
      <c r="N9" s="28"/>
    </row>
    <row r="10" spans="1:14" ht="21.75" customHeight="1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1" t="str">
        <f t="shared" si="0"/>
        <v/>
      </c>
      <c r="L10" s="30"/>
      <c r="M10" s="30"/>
      <c r="N10" s="30"/>
    </row>
    <row r="11" spans="1:14" ht="21.75" customHeight="1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9" t="str">
        <f t="shared" si="0"/>
        <v/>
      </c>
      <c r="L11" s="28"/>
      <c r="M11" s="28"/>
      <c r="N11" s="28"/>
    </row>
    <row r="12" spans="1:14" ht="21.75" customHeight="1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1" t="str">
        <f t="shared" si="0"/>
        <v/>
      </c>
      <c r="L12" s="30"/>
      <c r="M12" s="30"/>
      <c r="N12" s="30"/>
    </row>
    <row r="13" spans="1:14" ht="21.75" customHeight="1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9" t="str">
        <f t="shared" si="0"/>
        <v/>
      </c>
      <c r="L13" s="28"/>
      <c r="M13" s="28"/>
      <c r="N13" s="28"/>
    </row>
    <row r="14" spans="1:14" ht="21.75" customHeight="1" x14ac:dyDescent="0.2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1" t="str">
        <f t="shared" si="0"/>
        <v/>
      </c>
      <c r="L14" s="30"/>
      <c r="M14" s="30"/>
      <c r="N14" s="30"/>
    </row>
    <row r="15" spans="1:14" ht="21.75" customHeight="1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9" t="str">
        <f t="shared" si="0"/>
        <v/>
      </c>
      <c r="L15" s="28"/>
      <c r="M15" s="28"/>
      <c r="N15" s="28"/>
    </row>
    <row r="16" spans="1:14" ht="21.75" customHeight="1" x14ac:dyDescent="0.2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1" t="str">
        <f t="shared" si="0"/>
        <v/>
      </c>
      <c r="L16" s="30"/>
      <c r="M16" s="30"/>
      <c r="N16" s="30"/>
    </row>
    <row r="17" spans="1:14" ht="21.75" customHeight="1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9" t="str">
        <f t="shared" si="0"/>
        <v/>
      </c>
      <c r="L17" s="28"/>
      <c r="M17" s="28"/>
      <c r="N17" s="28"/>
    </row>
    <row r="18" spans="1:14" ht="21.75" customHeight="1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1" t="str">
        <f t="shared" si="0"/>
        <v/>
      </c>
      <c r="L18" s="30"/>
      <c r="M18" s="30"/>
      <c r="N18" s="30"/>
    </row>
    <row r="19" spans="1:14" ht="21.75" customHeight="1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9" t="str">
        <f t="shared" si="0"/>
        <v/>
      </c>
      <c r="L19" s="28"/>
      <c r="M19" s="28"/>
      <c r="N19" s="28"/>
    </row>
    <row r="20" spans="1:14" ht="21.75" customHeight="1" x14ac:dyDescent="0.2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1" t="str">
        <f t="shared" si="0"/>
        <v/>
      </c>
      <c r="L20" s="30"/>
      <c r="M20" s="30"/>
      <c r="N20" s="30"/>
    </row>
    <row r="21" spans="1:14" ht="21.75" customHeight="1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9" t="str">
        <f t="shared" si="0"/>
        <v/>
      </c>
      <c r="L21" s="28"/>
      <c r="M21" s="28"/>
      <c r="N21" s="28"/>
    </row>
    <row r="22" spans="1:14" ht="21.75" customHeight="1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1" t="str">
        <f t="shared" si="0"/>
        <v/>
      </c>
      <c r="L22" s="30"/>
      <c r="M22" s="30"/>
      <c r="N22" s="30"/>
    </row>
    <row r="23" spans="1:14" ht="21.75" customHeight="1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9" t="str">
        <f t="shared" si="0"/>
        <v/>
      </c>
      <c r="L23" s="28"/>
      <c r="M23" s="28"/>
      <c r="N23" s="28"/>
    </row>
    <row r="24" spans="1:14" ht="21.75" customHeight="1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1" t="str">
        <f t="shared" si="0"/>
        <v/>
      </c>
      <c r="L24" s="30"/>
      <c r="M24" s="30"/>
      <c r="N24" s="30"/>
    </row>
    <row r="25" spans="1:14" ht="21.75" customHeight="1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9" t="str">
        <f t="shared" si="0"/>
        <v/>
      </c>
      <c r="L25" s="28"/>
      <c r="M25" s="28"/>
      <c r="N25" s="28"/>
    </row>
    <row r="26" spans="1:14" ht="21.75" customHeight="1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1" t="str">
        <f t="shared" si="0"/>
        <v/>
      </c>
      <c r="L26" s="30"/>
      <c r="M26" s="30"/>
      <c r="N26" s="30"/>
    </row>
    <row r="27" spans="1:14" ht="21.75" customHeight="1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9" t="str">
        <f t="shared" si="0"/>
        <v/>
      </c>
      <c r="L27" s="28"/>
      <c r="M27" s="28"/>
      <c r="N27" s="28"/>
    </row>
    <row r="28" spans="1:14" ht="21.75" customHeight="1" x14ac:dyDescent="0.2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1" t="str">
        <f t="shared" si="0"/>
        <v/>
      </c>
      <c r="L28" s="30"/>
      <c r="M28" s="30"/>
      <c r="N28" s="30"/>
    </row>
    <row r="29" spans="1:14" ht="21.75" customHeight="1" x14ac:dyDescent="0.2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9" t="str">
        <f t="shared" si="0"/>
        <v/>
      </c>
      <c r="L29" s="28"/>
      <c r="M29" s="28"/>
      <c r="N29" s="28"/>
    </row>
    <row r="30" spans="1:14" ht="21.75" customHeight="1" x14ac:dyDescent="0.2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1" t="str">
        <f t="shared" si="0"/>
        <v/>
      </c>
      <c r="L30" s="30"/>
      <c r="M30" s="30"/>
      <c r="N30" s="30"/>
    </row>
    <row r="31" spans="1:14" ht="21.75" customHeight="1" x14ac:dyDescent="0.2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9" t="str">
        <f t="shared" si="0"/>
        <v/>
      </c>
      <c r="L31" s="28"/>
      <c r="M31" s="28"/>
      <c r="N31" s="28"/>
    </row>
    <row r="32" spans="1:14" ht="21.75" customHeight="1" x14ac:dyDescent="0.2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1" t="str">
        <f t="shared" si="0"/>
        <v/>
      </c>
      <c r="L32" s="30"/>
      <c r="M32" s="30"/>
      <c r="N32" s="30"/>
    </row>
    <row r="33" spans="1:14" ht="21.75" customHeight="1" x14ac:dyDescent="0.2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9" t="str">
        <f t="shared" si="0"/>
        <v/>
      </c>
      <c r="L33" s="28"/>
      <c r="M33" s="28"/>
      <c r="N33" s="28"/>
    </row>
    <row r="34" spans="1:14" ht="21.75" customHeight="1" x14ac:dyDescent="0.2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1" t="str">
        <f t="shared" ref="K34:K65" si="1">IF(H34="","",IF(H34="Win",J34+(F34*VALUE(RIGHT(G34,1))),IF(H34="Loss",J34-F34,IF(H34="En cours","En cours",J34))))</f>
        <v/>
      </c>
      <c r="L34" s="30"/>
      <c r="M34" s="30"/>
      <c r="N34" s="30"/>
    </row>
    <row r="35" spans="1:14" ht="21.75" customHeight="1" x14ac:dyDescent="0.2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9" t="str">
        <f t="shared" si="1"/>
        <v/>
      </c>
      <c r="L35" s="28"/>
      <c r="M35" s="28"/>
      <c r="N35" s="28"/>
    </row>
    <row r="36" spans="1:14" ht="21.75" customHeight="1" x14ac:dyDescent="0.2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1" t="str">
        <f t="shared" si="1"/>
        <v/>
      </c>
      <c r="L36" s="30"/>
      <c r="M36" s="30"/>
      <c r="N36" s="30"/>
    </row>
    <row r="37" spans="1:14" ht="21.75" customHeight="1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9" t="str">
        <f t="shared" si="1"/>
        <v/>
      </c>
      <c r="L37" s="28"/>
      <c r="M37" s="28"/>
      <c r="N37" s="28"/>
    </row>
    <row r="38" spans="1:14" ht="21.75" customHeight="1" x14ac:dyDescent="0.2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1" t="str">
        <f t="shared" si="1"/>
        <v/>
      </c>
      <c r="L38" s="30"/>
      <c r="M38" s="30"/>
      <c r="N38" s="30"/>
    </row>
    <row r="39" spans="1:14" ht="21.75" customHeight="1" x14ac:dyDescent="0.2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9" t="str">
        <f t="shared" si="1"/>
        <v/>
      </c>
      <c r="L39" s="28"/>
      <c r="M39" s="28"/>
      <c r="N39" s="28"/>
    </row>
    <row r="40" spans="1:14" ht="21.75" customHeight="1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1" t="str">
        <f t="shared" si="1"/>
        <v/>
      </c>
      <c r="L40" s="30"/>
      <c r="M40" s="30"/>
      <c r="N40" s="30"/>
    </row>
    <row r="41" spans="1:14" ht="21.75" customHeight="1" x14ac:dyDescent="0.2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9" t="str">
        <f t="shared" si="1"/>
        <v/>
      </c>
      <c r="L41" s="28"/>
      <c r="M41" s="28"/>
      <c r="N41" s="28"/>
    </row>
    <row r="42" spans="1:14" ht="21.75" customHeight="1" x14ac:dyDescent="0.25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1" t="str">
        <f t="shared" si="1"/>
        <v/>
      </c>
      <c r="L42" s="30"/>
      <c r="M42" s="30"/>
      <c r="N42" s="30"/>
    </row>
    <row r="43" spans="1:14" ht="21.75" customHeight="1" x14ac:dyDescent="0.2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9" t="str">
        <f t="shared" si="1"/>
        <v/>
      </c>
      <c r="L43" s="28"/>
      <c r="M43" s="28"/>
      <c r="N43" s="28"/>
    </row>
    <row r="44" spans="1:14" ht="21.75" customHeight="1" x14ac:dyDescent="0.2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1" t="str">
        <f t="shared" si="1"/>
        <v/>
      </c>
      <c r="L44" s="30"/>
      <c r="M44" s="30"/>
      <c r="N44" s="30"/>
    </row>
    <row r="45" spans="1:14" ht="21.75" customHeight="1" x14ac:dyDescent="0.2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9" t="str">
        <f t="shared" si="1"/>
        <v/>
      </c>
      <c r="L45" s="28"/>
      <c r="M45" s="28"/>
      <c r="N45" s="28"/>
    </row>
    <row r="46" spans="1:14" ht="21.75" customHeight="1" x14ac:dyDescent="0.2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1" t="str">
        <f t="shared" si="1"/>
        <v/>
      </c>
      <c r="L46" s="30"/>
      <c r="M46" s="30"/>
      <c r="N46" s="30"/>
    </row>
    <row r="47" spans="1:14" ht="21.75" customHeight="1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9" t="str">
        <f t="shared" si="1"/>
        <v/>
      </c>
      <c r="L47" s="28"/>
      <c r="M47" s="28"/>
      <c r="N47" s="28"/>
    </row>
    <row r="48" spans="1:14" ht="21.75" customHeight="1" x14ac:dyDescent="0.25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1" t="str">
        <f t="shared" si="1"/>
        <v/>
      </c>
      <c r="L48" s="30"/>
      <c r="M48" s="30"/>
      <c r="N48" s="30"/>
    </row>
    <row r="49" spans="1:14" ht="21.75" customHeight="1" x14ac:dyDescent="0.2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9" t="str">
        <f t="shared" si="1"/>
        <v/>
      </c>
      <c r="L49" s="28"/>
      <c r="M49" s="28"/>
      <c r="N49" s="28"/>
    </row>
    <row r="50" spans="1:14" ht="21.75" customHeight="1" x14ac:dyDescent="0.2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1" t="str">
        <f t="shared" si="1"/>
        <v/>
      </c>
      <c r="L50" s="30"/>
      <c r="M50" s="30"/>
      <c r="N50" s="30"/>
    </row>
    <row r="51" spans="1:14" ht="21.75" customHeight="1" x14ac:dyDescent="0.2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9" t="str">
        <f t="shared" si="1"/>
        <v/>
      </c>
      <c r="L51" s="28"/>
      <c r="M51" s="28"/>
      <c r="N51" s="28"/>
    </row>
    <row r="52" spans="1:14" ht="21.75" customHeight="1" x14ac:dyDescent="0.25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1" t="str">
        <f t="shared" si="1"/>
        <v/>
      </c>
      <c r="L52" s="30"/>
      <c r="M52" s="30"/>
      <c r="N52" s="30"/>
    </row>
    <row r="53" spans="1:14" ht="21.75" customHeight="1" x14ac:dyDescent="0.2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9" t="str">
        <f t="shared" si="1"/>
        <v/>
      </c>
      <c r="L53" s="28"/>
      <c r="M53" s="28"/>
      <c r="N53" s="28"/>
    </row>
    <row r="54" spans="1:14" ht="21.75" customHeight="1" x14ac:dyDescent="0.25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1" t="str">
        <f t="shared" si="1"/>
        <v/>
      </c>
      <c r="L54" s="30"/>
      <c r="M54" s="30"/>
      <c r="N54" s="30"/>
    </row>
    <row r="55" spans="1:14" ht="21.75" customHeight="1" x14ac:dyDescent="0.2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9" t="str">
        <f t="shared" si="1"/>
        <v/>
      </c>
      <c r="L55" s="28"/>
      <c r="M55" s="28"/>
      <c r="N55" s="28"/>
    </row>
    <row r="56" spans="1:14" ht="21.75" customHeight="1" x14ac:dyDescent="0.25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1" t="str">
        <f t="shared" si="1"/>
        <v/>
      </c>
      <c r="L56" s="30"/>
      <c r="M56" s="30"/>
      <c r="N56" s="30"/>
    </row>
    <row r="57" spans="1:14" ht="21.75" customHeight="1" x14ac:dyDescent="0.2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9" t="str">
        <f t="shared" si="1"/>
        <v/>
      </c>
      <c r="L57" s="28"/>
      <c r="M57" s="28"/>
      <c r="N57" s="28"/>
    </row>
    <row r="58" spans="1:14" ht="21.75" customHeight="1" x14ac:dyDescent="0.25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1" t="str">
        <f t="shared" si="1"/>
        <v/>
      </c>
      <c r="L58" s="30"/>
      <c r="M58" s="30"/>
      <c r="N58" s="30"/>
    </row>
    <row r="59" spans="1:14" ht="21.75" customHeight="1" x14ac:dyDescent="0.2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9" t="str">
        <f t="shared" si="1"/>
        <v/>
      </c>
      <c r="L59" s="28"/>
      <c r="M59" s="28"/>
      <c r="N59" s="28"/>
    </row>
    <row r="60" spans="1:14" ht="21.75" customHeight="1" x14ac:dyDescent="0.25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1" t="str">
        <f t="shared" si="1"/>
        <v/>
      </c>
      <c r="L60" s="30"/>
      <c r="M60" s="30"/>
      <c r="N60" s="30"/>
    </row>
    <row r="61" spans="1:14" ht="21.75" customHeight="1" x14ac:dyDescent="0.25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9" t="str">
        <f t="shared" si="1"/>
        <v/>
      </c>
      <c r="L61" s="28"/>
      <c r="M61" s="28"/>
      <c r="N61" s="28"/>
    </row>
    <row r="62" spans="1:14" ht="21.75" customHeight="1" x14ac:dyDescent="0.25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1" t="str">
        <f t="shared" si="1"/>
        <v/>
      </c>
      <c r="L62" s="30"/>
      <c r="M62" s="30"/>
      <c r="N62" s="30"/>
    </row>
    <row r="63" spans="1:14" ht="21.75" customHeight="1" x14ac:dyDescent="0.25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9" t="str">
        <f t="shared" si="1"/>
        <v/>
      </c>
      <c r="L63" s="28"/>
      <c r="M63" s="28"/>
      <c r="N63" s="28"/>
    </row>
    <row r="64" spans="1:14" ht="21.75" customHeight="1" x14ac:dyDescent="0.2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1" t="str">
        <f t="shared" si="1"/>
        <v/>
      </c>
      <c r="L64" s="30"/>
      <c r="M64" s="30"/>
      <c r="N64" s="30"/>
    </row>
    <row r="65" spans="1:14" ht="21.75" customHeight="1" x14ac:dyDescent="0.2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9" t="str">
        <f t="shared" si="1"/>
        <v/>
      </c>
      <c r="L65" s="28"/>
      <c r="M65" s="28"/>
      <c r="N65" s="28"/>
    </row>
    <row r="66" spans="1:14" ht="21.75" customHeight="1" x14ac:dyDescent="0.2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1" t="str">
        <f t="shared" ref="K66:K97" si="2">IF(H66="","",IF(H66="Win",J66+(F66*VALUE(RIGHT(G66,1))),IF(H66="Loss",J66-F66,IF(H66="En cours","En cours",J66))))</f>
        <v/>
      </c>
      <c r="L66" s="30"/>
      <c r="M66" s="30"/>
      <c r="N66" s="30"/>
    </row>
    <row r="67" spans="1:14" ht="21.75" customHeight="1" x14ac:dyDescent="0.25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9" t="str">
        <f t="shared" si="2"/>
        <v/>
      </c>
      <c r="L67" s="28"/>
      <c r="M67" s="28"/>
      <c r="N67" s="28"/>
    </row>
    <row r="68" spans="1:14" ht="21.75" customHeight="1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1" t="str">
        <f t="shared" si="2"/>
        <v/>
      </c>
      <c r="L68" s="30"/>
      <c r="M68" s="30"/>
      <c r="N68" s="30"/>
    </row>
    <row r="69" spans="1:14" ht="21.75" customHeight="1" x14ac:dyDescent="0.25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9" t="str">
        <f t="shared" si="2"/>
        <v/>
      </c>
      <c r="L69" s="28"/>
      <c r="M69" s="28"/>
      <c r="N69" s="28"/>
    </row>
    <row r="70" spans="1:14" ht="21.75" customHeight="1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1" t="str">
        <f t="shared" si="2"/>
        <v/>
      </c>
      <c r="L70" s="30"/>
      <c r="M70" s="30"/>
      <c r="N70" s="30"/>
    </row>
    <row r="71" spans="1:14" ht="21.75" customHeight="1" x14ac:dyDescent="0.25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9" t="str">
        <f t="shared" si="2"/>
        <v/>
      </c>
      <c r="L71" s="28"/>
      <c r="M71" s="28"/>
      <c r="N71" s="28"/>
    </row>
    <row r="72" spans="1:14" ht="21.75" customHeight="1" x14ac:dyDescent="0.25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1" t="str">
        <f t="shared" si="2"/>
        <v/>
      </c>
      <c r="L72" s="30"/>
      <c r="M72" s="30"/>
      <c r="N72" s="30"/>
    </row>
    <row r="73" spans="1:14" ht="21.75" customHeight="1" x14ac:dyDescent="0.25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9" t="str">
        <f t="shared" si="2"/>
        <v/>
      </c>
      <c r="L73" s="28"/>
      <c r="M73" s="28"/>
      <c r="N73" s="28"/>
    </row>
    <row r="74" spans="1:14" ht="21.75" customHeight="1" x14ac:dyDescent="0.2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1" t="str">
        <f t="shared" si="2"/>
        <v/>
      </c>
      <c r="L74" s="30"/>
      <c r="M74" s="30"/>
      <c r="N74" s="30"/>
    </row>
    <row r="75" spans="1:14" ht="21.75" customHeight="1" x14ac:dyDescent="0.2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9" t="str">
        <f t="shared" si="2"/>
        <v/>
      </c>
      <c r="L75" s="28"/>
      <c r="M75" s="28"/>
      <c r="N75" s="28"/>
    </row>
    <row r="76" spans="1:14" ht="21.75" customHeight="1" x14ac:dyDescent="0.25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1" t="str">
        <f t="shared" si="2"/>
        <v/>
      </c>
      <c r="L76" s="30"/>
      <c r="M76" s="30"/>
      <c r="N76" s="30"/>
    </row>
    <row r="77" spans="1:14" ht="21.75" customHeight="1" x14ac:dyDescent="0.25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9" t="str">
        <f t="shared" si="2"/>
        <v/>
      </c>
      <c r="L77" s="28"/>
      <c r="M77" s="28"/>
      <c r="N77" s="28"/>
    </row>
    <row r="78" spans="1:14" ht="21.75" customHeight="1" x14ac:dyDescent="0.2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1" t="str">
        <f t="shared" si="2"/>
        <v/>
      </c>
      <c r="L78" s="30"/>
      <c r="M78" s="30"/>
      <c r="N78" s="30"/>
    </row>
    <row r="79" spans="1:14" ht="21.75" customHeight="1" x14ac:dyDescent="0.25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9" t="str">
        <f t="shared" si="2"/>
        <v/>
      </c>
      <c r="L79" s="28"/>
      <c r="M79" s="28"/>
      <c r="N79" s="28"/>
    </row>
    <row r="80" spans="1:14" ht="21.75" customHeight="1" x14ac:dyDescent="0.2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1" t="str">
        <f t="shared" si="2"/>
        <v/>
      </c>
      <c r="L80" s="30"/>
      <c r="M80" s="30"/>
      <c r="N80" s="30"/>
    </row>
    <row r="81" spans="1:14" ht="21.75" customHeight="1" x14ac:dyDescent="0.2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9" t="str">
        <f t="shared" si="2"/>
        <v/>
      </c>
      <c r="L81" s="28"/>
      <c r="M81" s="28"/>
      <c r="N81" s="28"/>
    </row>
    <row r="82" spans="1:14" ht="21.75" customHeight="1" x14ac:dyDescent="0.2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1" t="str">
        <f t="shared" si="2"/>
        <v/>
      </c>
      <c r="L82" s="30"/>
      <c r="M82" s="30"/>
      <c r="N82" s="30"/>
    </row>
    <row r="83" spans="1:14" ht="21.75" customHeight="1" x14ac:dyDescent="0.2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9" t="str">
        <f t="shared" si="2"/>
        <v/>
      </c>
      <c r="L83" s="28"/>
      <c r="M83" s="28"/>
      <c r="N83" s="28"/>
    </row>
    <row r="84" spans="1:14" ht="21.75" customHeight="1" x14ac:dyDescent="0.25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1" t="str">
        <f t="shared" si="2"/>
        <v/>
      </c>
      <c r="L84" s="30"/>
      <c r="M84" s="30"/>
      <c r="N84" s="30"/>
    </row>
    <row r="85" spans="1:14" ht="21.75" customHeight="1" x14ac:dyDescent="0.2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9" t="str">
        <f t="shared" si="2"/>
        <v/>
      </c>
      <c r="L85" s="28"/>
      <c r="M85" s="28"/>
      <c r="N85" s="28"/>
    </row>
    <row r="86" spans="1:14" ht="21.75" customHeight="1" x14ac:dyDescent="0.25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1" t="str">
        <f t="shared" si="2"/>
        <v/>
      </c>
      <c r="L86" s="30"/>
      <c r="M86" s="30"/>
      <c r="N86" s="30"/>
    </row>
    <row r="87" spans="1:14" ht="21.75" customHeight="1" x14ac:dyDescent="0.2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9" t="str">
        <f t="shared" si="2"/>
        <v/>
      </c>
      <c r="L87" s="28"/>
      <c r="M87" s="28"/>
      <c r="N87" s="28"/>
    </row>
    <row r="88" spans="1:14" ht="21.75" customHeight="1" x14ac:dyDescent="0.2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1" t="str">
        <f t="shared" si="2"/>
        <v/>
      </c>
      <c r="L88" s="30"/>
      <c r="M88" s="30"/>
      <c r="N88" s="30"/>
    </row>
    <row r="89" spans="1:14" ht="21.75" customHeight="1" x14ac:dyDescent="0.2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9" t="str">
        <f t="shared" si="2"/>
        <v/>
      </c>
      <c r="L89" s="28"/>
      <c r="M89" s="28"/>
      <c r="N89" s="28"/>
    </row>
    <row r="90" spans="1:14" ht="21.75" customHeight="1" x14ac:dyDescent="0.2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1" t="str">
        <f t="shared" si="2"/>
        <v/>
      </c>
      <c r="L90" s="30"/>
      <c r="M90" s="30"/>
      <c r="N90" s="30"/>
    </row>
    <row r="91" spans="1:14" ht="21.75" customHeight="1" x14ac:dyDescent="0.2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9" t="str">
        <f t="shared" si="2"/>
        <v/>
      </c>
      <c r="L91" s="28"/>
      <c r="M91" s="28"/>
      <c r="N91" s="28"/>
    </row>
    <row r="92" spans="1:14" ht="21.75" customHeight="1" x14ac:dyDescent="0.2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1" t="str">
        <f t="shared" si="2"/>
        <v/>
      </c>
      <c r="L92" s="30"/>
      <c r="M92" s="30"/>
      <c r="N92" s="30"/>
    </row>
    <row r="93" spans="1:14" ht="21.75" customHeight="1" x14ac:dyDescent="0.2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9" t="str">
        <f t="shared" si="2"/>
        <v/>
      </c>
      <c r="L93" s="28"/>
      <c r="M93" s="28"/>
      <c r="N93" s="28"/>
    </row>
    <row r="94" spans="1:14" ht="21.75" customHeight="1" x14ac:dyDescent="0.25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1" t="str">
        <f t="shared" si="2"/>
        <v/>
      </c>
      <c r="L94" s="30"/>
      <c r="M94" s="30"/>
      <c r="N94" s="30"/>
    </row>
    <row r="95" spans="1:14" ht="21.75" customHeight="1" x14ac:dyDescent="0.2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9" t="str">
        <f t="shared" si="2"/>
        <v/>
      </c>
      <c r="L95" s="28"/>
      <c r="M95" s="28"/>
      <c r="N95" s="28"/>
    </row>
    <row r="96" spans="1:14" ht="21.75" customHeight="1" x14ac:dyDescent="0.2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1" t="str">
        <f t="shared" si="2"/>
        <v/>
      </c>
      <c r="L96" s="30"/>
      <c r="M96" s="30"/>
      <c r="N96" s="30"/>
    </row>
    <row r="97" spans="1:14" ht="21.75" customHeight="1" x14ac:dyDescent="0.2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9" t="str">
        <f t="shared" si="2"/>
        <v/>
      </c>
      <c r="L97" s="28"/>
      <c r="M97" s="28"/>
      <c r="N97" s="28"/>
    </row>
    <row r="98" spans="1:14" ht="21.75" customHeight="1" x14ac:dyDescent="0.2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1" t="str">
        <f t="shared" ref="K98:K129" si="3">IF(H98="","",IF(H98="Win",J98+(F98*VALUE(RIGHT(G98,1))),IF(H98="Loss",J98-F98,IF(H98="En cours","En cours",J98))))</f>
        <v/>
      </c>
      <c r="L98" s="30"/>
      <c r="M98" s="30"/>
      <c r="N98" s="30"/>
    </row>
    <row r="99" spans="1:14" ht="21.75" customHeight="1" x14ac:dyDescent="0.25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9" t="str">
        <f t="shared" si="3"/>
        <v/>
      </c>
      <c r="L99" s="28"/>
      <c r="M99" s="28"/>
      <c r="N99" s="28"/>
    </row>
    <row r="100" spans="1:14" ht="21.75" customHeight="1" x14ac:dyDescent="0.2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1" t="str">
        <f t="shared" si="3"/>
        <v/>
      </c>
      <c r="L100" s="30"/>
      <c r="M100" s="30"/>
      <c r="N100" s="30"/>
    </row>
    <row r="101" spans="1:14" ht="21.75" customHeight="1" x14ac:dyDescent="0.25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9" t="str">
        <f t="shared" si="3"/>
        <v/>
      </c>
      <c r="L101" s="28"/>
      <c r="M101" s="28"/>
      <c r="N101" s="28"/>
    </row>
    <row r="102" spans="1:14" ht="21.75" customHeight="1" x14ac:dyDescent="0.2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1" t="str">
        <f t="shared" si="3"/>
        <v/>
      </c>
      <c r="L102" s="30"/>
      <c r="M102" s="30"/>
      <c r="N102" s="30"/>
    </row>
    <row r="103" spans="1:14" ht="21.75" customHeight="1" x14ac:dyDescent="0.25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9" t="str">
        <f t="shared" si="3"/>
        <v/>
      </c>
      <c r="L103" s="28"/>
      <c r="M103" s="28"/>
      <c r="N103" s="28"/>
    </row>
    <row r="104" spans="1:14" ht="21.75" customHeight="1" x14ac:dyDescent="0.2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1" t="str">
        <f t="shared" si="3"/>
        <v/>
      </c>
      <c r="L104" s="30"/>
      <c r="M104" s="30"/>
      <c r="N104" s="30"/>
    </row>
    <row r="105" spans="1:14" ht="21.75" customHeight="1" x14ac:dyDescent="0.2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9" t="str">
        <f t="shared" si="3"/>
        <v/>
      </c>
      <c r="L105" s="28"/>
      <c r="M105" s="28"/>
      <c r="N105" s="28"/>
    </row>
    <row r="106" spans="1:14" ht="21.75" customHeight="1" x14ac:dyDescent="0.2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1" t="str">
        <f t="shared" si="3"/>
        <v/>
      </c>
      <c r="L106" s="30"/>
      <c r="M106" s="30"/>
      <c r="N106" s="30"/>
    </row>
    <row r="107" spans="1:14" ht="21.75" customHeight="1" x14ac:dyDescent="0.25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9" t="str">
        <f t="shared" si="3"/>
        <v/>
      </c>
      <c r="L107" s="28"/>
      <c r="M107" s="28"/>
      <c r="N107" s="28"/>
    </row>
    <row r="108" spans="1:14" ht="21.75" customHeight="1" x14ac:dyDescent="0.2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1" t="str">
        <f t="shared" si="3"/>
        <v/>
      </c>
      <c r="L108" s="30"/>
      <c r="M108" s="30"/>
      <c r="N108" s="30"/>
    </row>
    <row r="109" spans="1:14" ht="21.75" customHeight="1" x14ac:dyDescent="0.25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9" t="str">
        <f t="shared" si="3"/>
        <v/>
      </c>
      <c r="L109" s="28"/>
      <c r="M109" s="28"/>
      <c r="N109" s="28"/>
    </row>
    <row r="110" spans="1:14" ht="21.75" customHeight="1" x14ac:dyDescent="0.2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1" t="str">
        <f t="shared" si="3"/>
        <v/>
      </c>
      <c r="L110" s="30"/>
      <c r="M110" s="30"/>
      <c r="N110" s="30"/>
    </row>
    <row r="111" spans="1:14" ht="21.75" customHeight="1" x14ac:dyDescent="0.25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9" t="str">
        <f t="shared" si="3"/>
        <v/>
      </c>
      <c r="L111" s="28"/>
      <c r="M111" s="28"/>
      <c r="N111" s="28"/>
    </row>
    <row r="112" spans="1:14" ht="21.75" customHeight="1" x14ac:dyDescent="0.2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1" t="str">
        <f t="shared" si="3"/>
        <v/>
      </c>
      <c r="L112" s="30"/>
      <c r="M112" s="30"/>
      <c r="N112" s="30"/>
    </row>
    <row r="113" spans="1:14" ht="21.75" customHeight="1" x14ac:dyDescent="0.25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9" t="str">
        <f t="shared" si="3"/>
        <v/>
      </c>
      <c r="L113" s="28"/>
      <c r="M113" s="28"/>
      <c r="N113" s="28"/>
    </row>
    <row r="114" spans="1:14" ht="21.75" customHeight="1" x14ac:dyDescent="0.2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1" t="str">
        <f t="shared" si="3"/>
        <v/>
      </c>
      <c r="L114" s="30"/>
      <c r="M114" s="30"/>
      <c r="N114" s="30"/>
    </row>
    <row r="115" spans="1:14" ht="21.75" customHeight="1" x14ac:dyDescent="0.2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9" t="str">
        <f t="shared" si="3"/>
        <v/>
      </c>
      <c r="L115" s="28"/>
      <c r="M115" s="28"/>
      <c r="N115" s="28"/>
    </row>
    <row r="116" spans="1:14" ht="21.75" customHeight="1" x14ac:dyDescent="0.2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1" t="str">
        <f t="shared" si="3"/>
        <v/>
      </c>
      <c r="L116" s="30"/>
      <c r="M116" s="30"/>
      <c r="N116" s="30"/>
    </row>
    <row r="117" spans="1:14" ht="21.75" customHeight="1" x14ac:dyDescent="0.25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9" t="str">
        <f t="shared" si="3"/>
        <v/>
      </c>
      <c r="L117" s="28"/>
      <c r="M117" s="28"/>
      <c r="N117" s="28"/>
    </row>
    <row r="118" spans="1:14" ht="21.75" customHeight="1" x14ac:dyDescent="0.2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1" t="str">
        <f t="shared" si="3"/>
        <v/>
      </c>
      <c r="L118" s="30"/>
      <c r="M118" s="30"/>
      <c r="N118" s="30"/>
    </row>
    <row r="119" spans="1:14" ht="21.75" customHeight="1" x14ac:dyDescent="0.25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9" t="str">
        <f t="shared" si="3"/>
        <v/>
      </c>
      <c r="L119" s="28"/>
      <c r="M119" s="28"/>
      <c r="N119" s="28"/>
    </row>
    <row r="120" spans="1:14" ht="21.75" customHeight="1" x14ac:dyDescent="0.2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1" t="str">
        <f t="shared" si="3"/>
        <v/>
      </c>
      <c r="L120" s="30"/>
      <c r="M120" s="30"/>
      <c r="N120" s="30"/>
    </row>
    <row r="121" spans="1:14" ht="21.75" customHeight="1" x14ac:dyDescent="0.25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9" t="str">
        <f t="shared" si="3"/>
        <v/>
      </c>
      <c r="L121" s="28"/>
      <c r="M121" s="28"/>
      <c r="N121" s="28"/>
    </row>
    <row r="122" spans="1:14" ht="21.75" customHeight="1" x14ac:dyDescent="0.2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1" t="str">
        <f t="shared" si="3"/>
        <v/>
      </c>
      <c r="L122" s="30"/>
      <c r="M122" s="30"/>
      <c r="N122" s="30"/>
    </row>
    <row r="123" spans="1:14" ht="21.75" customHeight="1" x14ac:dyDescent="0.2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9" t="str">
        <f t="shared" si="3"/>
        <v/>
      </c>
      <c r="L123" s="28"/>
      <c r="M123" s="28"/>
      <c r="N123" s="28"/>
    </row>
    <row r="124" spans="1:14" ht="21.75" customHeight="1" x14ac:dyDescent="0.2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1" t="str">
        <f t="shared" si="3"/>
        <v/>
      </c>
      <c r="L124" s="30"/>
      <c r="M124" s="30"/>
      <c r="N124" s="30"/>
    </row>
    <row r="125" spans="1:14" ht="21.75" customHeight="1" x14ac:dyDescent="0.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9" t="str">
        <f t="shared" si="3"/>
        <v/>
      </c>
      <c r="L125" s="28"/>
      <c r="M125" s="28"/>
      <c r="N125" s="28"/>
    </row>
    <row r="126" spans="1:14" ht="21.75" customHeight="1" x14ac:dyDescent="0.2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1" t="str">
        <f t="shared" si="3"/>
        <v/>
      </c>
      <c r="L126" s="30"/>
      <c r="M126" s="30"/>
      <c r="N126" s="30"/>
    </row>
    <row r="127" spans="1:14" ht="21.75" customHeight="1" x14ac:dyDescent="0.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9" t="str">
        <f t="shared" si="3"/>
        <v/>
      </c>
      <c r="L127" s="28"/>
      <c r="M127" s="28"/>
      <c r="N127" s="28"/>
    </row>
    <row r="128" spans="1:14" ht="21.75" customHeight="1" x14ac:dyDescent="0.2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1" t="str">
        <f t="shared" si="3"/>
        <v/>
      </c>
      <c r="L128" s="30"/>
      <c r="M128" s="30"/>
      <c r="N128" s="30"/>
    </row>
    <row r="129" spans="1:14" ht="21.75" customHeight="1" x14ac:dyDescent="0.2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9" t="str">
        <f t="shared" si="3"/>
        <v/>
      </c>
      <c r="L129" s="28"/>
      <c r="M129" s="28"/>
      <c r="N129" s="28"/>
    </row>
    <row r="130" spans="1:14" ht="21.75" customHeight="1" x14ac:dyDescent="0.2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1" t="str">
        <f t="shared" ref="K130:K161" si="4">IF(H130="","",IF(H130="Win",J130+(F130*VALUE(RIGHT(G130,1))),IF(H130="Loss",J130-F130,IF(H130="En cours","En cours",J130))))</f>
        <v/>
      </c>
      <c r="L130" s="30"/>
      <c r="M130" s="30"/>
      <c r="N130" s="30"/>
    </row>
    <row r="131" spans="1:14" ht="21.75" customHeight="1" x14ac:dyDescent="0.2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9" t="str">
        <f t="shared" si="4"/>
        <v/>
      </c>
      <c r="L131" s="28"/>
      <c r="M131" s="28"/>
      <c r="N131" s="28"/>
    </row>
    <row r="132" spans="1:14" ht="21.75" customHeight="1" x14ac:dyDescent="0.2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1" t="str">
        <f t="shared" si="4"/>
        <v/>
      </c>
      <c r="L132" s="30"/>
      <c r="M132" s="30"/>
      <c r="N132" s="30"/>
    </row>
    <row r="133" spans="1:14" ht="21.75" customHeight="1" x14ac:dyDescent="0.2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9" t="str">
        <f t="shared" si="4"/>
        <v/>
      </c>
      <c r="L133" s="28"/>
      <c r="M133" s="28"/>
      <c r="N133" s="28"/>
    </row>
    <row r="134" spans="1:14" ht="21.75" customHeight="1" x14ac:dyDescent="0.2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1" t="str">
        <f t="shared" si="4"/>
        <v/>
      </c>
      <c r="L134" s="30"/>
      <c r="M134" s="30"/>
      <c r="N134" s="30"/>
    </row>
    <row r="135" spans="1:14" ht="21.75" customHeight="1" x14ac:dyDescent="0.2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9" t="str">
        <f t="shared" si="4"/>
        <v/>
      </c>
      <c r="L135" s="28"/>
      <c r="M135" s="28"/>
      <c r="N135" s="28"/>
    </row>
    <row r="136" spans="1:14" ht="21.75" customHeight="1" x14ac:dyDescent="0.2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1" t="str">
        <f t="shared" si="4"/>
        <v/>
      </c>
      <c r="L136" s="30"/>
      <c r="M136" s="30"/>
      <c r="N136" s="30"/>
    </row>
    <row r="137" spans="1:14" ht="21.75" customHeight="1" x14ac:dyDescent="0.2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9" t="str">
        <f t="shared" si="4"/>
        <v/>
      </c>
      <c r="L137" s="28"/>
      <c r="M137" s="28"/>
      <c r="N137" s="28"/>
    </row>
    <row r="138" spans="1:14" ht="21.75" customHeight="1" x14ac:dyDescent="0.2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1" t="str">
        <f t="shared" si="4"/>
        <v/>
      </c>
      <c r="L138" s="30"/>
      <c r="M138" s="30"/>
      <c r="N138" s="30"/>
    </row>
    <row r="139" spans="1:14" ht="21.75" customHeight="1" x14ac:dyDescent="0.2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9" t="str">
        <f t="shared" si="4"/>
        <v/>
      </c>
      <c r="L139" s="28"/>
      <c r="M139" s="28"/>
      <c r="N139" s="28"/>
    </row>
    <row r="140" spans="1:14" ht="21.75" customHeight="1" x14ac:dyDescent="0.2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1" t="str">
        <f t="shared" si="4"/>
        <v/>
      </c>
      <c r="L140" s="30"/>
      <c r="M140" s="30"/>
      <c r="N140" s="30"/>
    </row>
    <row r="141" spans="1:14" ht="21.75" customHeight="1" x14ac:dyDescent="0.2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9" t="str">
        <f t="shared" si="4"/>
        <v/>
      </c>
      <c r="L141" s="28"/>
      <c r="M141" s="28"/>
      <c r="N141" s="28"/>
    </row>
    <row r="142" spans="1:14" ht="21.75" customHeight="1" x14ac:dyDescent="0.2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1" t="str">
        <f t="shared" si="4"/>
        <v/>
      </c>
      <c r="L142" s="30"/>
      <c r="M142" s="30"/>
      <c r="N142" s="30"/>
    </row>
    <row r="143" spans="1:14" ht="21.75" customHeight="1" x14ac:dyDescent="0.2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9" t="str">
        <f t="shared" si="4"/>
        <v/>
      </c>
      <c r="L143" s="28"/>
      <c r="M143" s="28"/>
      <c r="N143" s="28"/>
    </row>
    <row r="144" spans="1:14" ht="21.75" customHeight="1" x14ac:dyDescent="0.2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1" t="str">
        <f t="shared" si="4"/>
        <v/>
      </c>
      <c r="L144" s="30"/>
      <c r="M144" s="30"/>
      <c r="N144" s="30"/>
    </row>
    <row r="145" spans="1:14" ht="21.75" customHeight="1" x14ac:dyDescent="0.2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9" t="str">
        <f t="shared" si="4"/>
        <v/>
      </c>
      <c r="L145" s="28"/>
      <c r="M145" s="28"/>
      <c r="N145" s="28"/>
    </row>
    <row r="146" spans="1:14" ht="21.75" customHeight="1" x14ac:dyDescent="0.2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1" t="str">
        <f t="shared" si="4"/>
        <v/>
      </c>
      <c r="L146" s="30"/>
      <c r="M146" s="30"/>
      <c r="N146" s="30"/>
    </row>
    <row r="147" spans="1:14" ht="21.75" customHeight="1" x14ac:dyDescent="0.2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9" t="str">
        <f t="shared" si="4"/>
        <v/>
      </c>
      <c r="L147" s="28"/>
      <c r="M147" s="28"/>
      <c r="N147" s="28"/>
    </row>
    <row r="148" spans="1:14" ht="21.75" customHeight="1" x14ac:dyDescent="0.2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1" t="str">
        <f t="shared" si="4"/>
        <v/>
      </c>
      <c r="L148" s="30"/>
      <c r="M148" s="30"/>
      <c r="N148" s="30"/>
    </row>
    <row r="149" spans="1:14" ht="21.75" customHeight="1" x14ac:dyDescent="0.2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9" t="str">
        <f t="shared" si="4"/>
        <v/>
      </c>
      <c r="L149" s="28"/>
      <c r="M149" s="28"/>
      <c r="N149" s="28"/>
    </row>
    <row r="150" spans="1:14" ht="21.75" customHeight="1" x14ac:dyDescent="0.2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1" t="str">
        <f t="shared" si="4"/>
        <v/>
      </c>
      <c r="L150" s="30"/>
      <c r="M150" s="30"/>
      <c r="N150" s="30"/>
    </row>
    <row r="151" spans="1:14" ht="21.75" customHeight="1" x14ac:dyDescent="0.2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9" t="str">
        <f t="shared" si="4"/>
        <v/>
      </c>
      <c r="L151" s="28"/>
      <c r="M151" s="28"/>
      <c r="N151" s="28"/>
    </row>
    <row r="152" spans="1:14" ht="21.75" customHeight="1" x14ac:dyDescent="0.2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1" t="str">
        <f t="shared" si="4"/>
        <v/>
      </c>
      <c r="L152" s="30"/>
      <c r="M152" s="30"/>
      <c r="N152" s="30"/>
    </row>
    <row r="153" spans="1:14" ht="21.75" customHeight="1" x14ac:dyDescent="0.25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9" t="str">
        <f t="shared" si="4"/>
        <v/>
      </c>
      <c r="L153" s="28"/>
      <c r="M153" s="28"/>
      <c r="N153" s="28"/>
    </row>
    <row r="154" spans="1:14" ht="21.75" customHeight="1" x14ac:dyDescent="0.2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1" t="str">
        <f t="shared" si="4"/>
        <v/>
      </c>
      <c r="L154" s="30"/>
      <c r="M154" s="30"/>
      <c r="N154" s="30"/>
    </row>
    <row r="155" spans="1:14" ht="21.75" customHeight="1" x14ac:dyDescent="0.2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9" t="str">
        <f t="shared" si="4"/>
        <v/>
      </c>
      <c r="L155" s="28"/>
      <c r="M155" s="28"/>
      <c r="N155" s="28"/>
    </row>
    <row r="156" spans="1:14" ht="21.75" customHeight="1" x14ac:dyDescent="0.2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1" t="str">
        <f t="shared" si="4"/>
        <v/>
      </c>
      <c r="L156" s="30"/>
      <c r="M156" s="30"/>
      <c r="N156" s="30"/>
    </row>
    <row r="157" spans="1:14" ht="21.75" customHeight="1" x14ac:dyDescent="0.2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9" t="str">
        <f t="shared" si="4"/>
        <v/>
      </c>
      <c r="L157" s="28"/>
      <c r="M157" s="28"/>
      <c r="N157" s="28"/>
    </row>
    <row r="158" spans="1:14" ht="21.75" customHeight="1" x14ac:dyDescent="0.2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1" t="str">
        <f t="shared" si="4"/>
        <v/>
      </c>
      <c r="L158" s="30"/>
      <c r="M158" s="30"/>
      <c r="N158" s="30"/>
    </row>
    <row r="159" spans="1:14" ht="21.75" customHeight="1" x14ac:dyDescent="0.25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9" t="str">
        <f t="shared" si="4"/>
        <v/>
      </c>
      <c r="L159" s="28"/>
      <c r="M159" s="28"/>
      <c r="N159" s="28"/>
    </row>
    <row r="160" spans="1:14" ht="21.75" customHeight="1" x14ac:dyDescent="0.2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1" t="str">
        <f t="shared" si="4"/>
        <v/>
      </c>
      <c r="L160" s="30"/>
      <c r="M160" s="30"/>
      <c r="N160" s="30"/>
    </row>
    <row r="161" spans="1:14" ht="21.75" customHeight="1" x14ac:dyDescent="0.25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9" t="str">
        <f t="shared" si="4"/>
        <v/>
      </c>
      <c r="L161" s="28"/>
      <c r="M161" s="28"/>
      <c r="N161" s="28"/>
    </row>
    <row r="162" spans="1:14" ht="21.75" customHeight="1" x14ac:dyDescent="0.2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1" t="str">
        <f t="shared" ref="K162:K193" si="5">IF(H162="","",IF(H162="Win",J162+(F162*VALUE(RIGHT(G162,1))),IF(H162="Loss",J162-F162,IF(H162="En cours","En cours",J162))))</f>
        <v/>
      </c>
      <c r="L162" s="30"/>
      <c r="M162" s="30"/>
      <c r="N162" s="30"/>
    </row>
    <row r="163" spans="1:14" ht="21.75" customHeight="1" x14ac:dyDescent="0.2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9" t="str">
        <f t="shared" si="5"/>
        <v/>
      </c>
      <c r="L163" s="28"/>
      <c r="M163" s="28"/>
      <c r="N163" s="28"/>
    </row>
    <row r="164" spans="1:14" ht="21.75" customHeight="1" x14ac:dyDescent="0.2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1" t="str">
        <f t="shared" si="5"/>
        <v/>
      </c>
      <c r="L164" s="30"/>
      <c r="M164" s="30"/>
      <c r="N164" s="30"/>
    </row>
    <row r="165" spans="1:14" ht="21.75" customHeight="1" x14ac:dyDescent="0.2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9" t="str">
        <f t="shared" si="5"/>
        <v/>
      </c>
      <c r="L165" s="28"/>
      <c r="M165" s="28"/>
      <c r="N165" s="28"/>
    </row>
    <row r="166" spans="1:14" ht="21.75" customHeight="1" x14ac:dyDescent="0.2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1" t="str">
        <f t="shared" si="5"/>
        <v/>
      </c>
      <c r="L166" s="30"/>
      <c r="M166" s="30"/>
      <c r="N166" s="30"/>
    </row>
    <row r="167" spans="1:14" ht="21.75" customHeight="1" x14ac:dyDescent="0.25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9" t="str">
        <f t="shared" si="5"/>
        <v/>
      </c>
      <c r="L167" s="28"/>
      <c r="M167" s="28"/>
      <c r="N167" s="28"/>
    </row>
    <row r="168" spans="1:14" ht="21.75" customHeight="1" x14ac:dyDescent="0.2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1" t="str">
        <f t="shared" si="5"/>
        <v/>
      </c>
      <c r="L168" s="30"/>
      <c r="M168" s="30"/>
      <c r="N168" s="30"/>
    </row>
    <row r="169" spans="1:14" ht="21.75" customHeight="1" x14ac:dyDescent="0.25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9" t="str">
        <f t="shared" si="5"/>
        <v/>
      </c>
      <c r="L169" s="28"/>
      <c r="M169" s="28"/>
      <c r="N169" s="28"/>
    </row>
    <row r="170" spans="1:14" ht="21.75" customHeight="1" x14ac:dyDescent="0.2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1" t="str">
        <f t="shared" si="5"/>
        <v/>
      </c>
      <c r="L170" s="30"/>
      <c r="M170" s="30"/>
      <c r="N170" s="30"/>
    </row>
    <row r="171" spans="1:14" ht="21.75" customHeight="1" x14ac:dyDescent="0.25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9" t="str">
        <f t="shared" si="5"/>
        <v/>
      </c>
      <c r="L171" s="28"/>
      <c r="M171" s="28"/>
      <c r="N171" s="28"/>
    </row>
    <row r="172" spans="1:14" ht="21.75" customHeight="1" x14ac:dyDescent="0.2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1" t="str">
        <f t="shared" si="5"/>
        <v/>
      </c>
      <c r="L172" s="30"/>
      <c r="M172" s="30"/>
      <c r="N172" s="30"/>
    </row>
    <row r="173" spans="1:14" ht="21.75" customHeight="1" x14ac:dyDescent="0.25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9" t="str">
        <f t="shared" si="5"/>
        <v/>
      </c>
      <c r="L173" s="28"/>
      <c r="M173" s="28"/>
      <c r="N173" s="28"/>
    </row>
    <row r="174" spans="1:14" ht="21.75" customHeight="1" x14ac:dyDescent="0.2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1" t="str">
        <f t="shared" si="5"/>
        <v/>
      </c>
      <c r="L174" s="30"/>
      <c r="M174" s="30"/>
      <c r="N174" s="30"/>
    </row>
    <row r="175" spans="1:14" ht="21.75" customHeight="1" x14ac:dyDescent="0.2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9" t="str">
        <f t="shared" si="5"/>
        <v/>
      </c>
      <c r="L175" s="28"/>
      <c r="M175" s="28"/>
      <c r="N175" s="28"/>
    </row>
    <row r="176" spans="1:14" ht="21.75" customHeight="1" x14ac:dyDescent="0.2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1" t="str">
        <f t="shared" si="5"/>
        <v/>
      </c>
      <c r="L176" s="30"/>
      <c r="M176" s="30"/>
      <c r="N176" s="30"/>
    </row>
    <row r="177" spans="1:14" ht="21.75" customHeight="1" x14ac:dyDescent="0.25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9" t="str">
        <f t="shared" si="5"/>
        <v/>
      </c>
      <c r="L177" s="28"/>
      <c r="M177" s="28"/>
      <c r="N177" s="28"/>
    </row>
    <row r="178" spans="1:14" ht="21.75" customHeight="1" x14ac:dyDescent="0.2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1" t="str">
        <f t="shared" si="5"/>
        <v/>
      </c>
      <c r="L178" s="30"/>
      <c r="M178" s="30"/>
      <c r="N178" s="30"/>
    </row>
    <row r="179" spans="1:14" ht="21.75" customHeight="1" x14ac:dyDescent="0.25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9" t="str">
        <f t="shared" si="5"/>
        <v/>
      </c>
      <c r="L179" s="28"/>
      <c r="M179" s="28"/>
      <c r="N179" s="28"/>
    </row>
    <row r="180" spans="1:14" ht="21.75" customHeight="1" x14ac:dyDescent="0.2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1" t="str">
        <f t="shared" si="5"/>
        <v/>
      </c>
      <c r="L180" s="30"/>
      <c r="M180" s="30"/>
      <c r="N180" s="30"/>
    </row>
    <row r="181" spans="1:14" ht="21.75" customHeight="1" x14ac:dyDescent="0.25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9" t="str">
        <f t="shared" si="5"/>
        <v/>
      </c>
      <c r="L181" s="28"/>
      <c r="M181" s="28"/>
      <c r="N181" s="28"/>
    </row>
    <row r="182" spans="1:14" ht="21.75" customHeight="1" x14ac:dyDescent="0.2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1" t="str">
        <f t="shared" si="5"/>
        <v/>
      </c>
      <c r="L182" s="30"/>
      <c r="M182" s="30"/>
      <c r="N182" s="30"/>
    </row>
    <row r="183" spans="1:14" ht="21.75" customHeight="1" x14ac:dyDescent="0.25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9" t="str">
        <f t="shared" si="5"/>
        <v/>
      </c>
      <c r="L183" s="28"/>
      <c r="M183" s="28"/>
      <c r="N183" s="28"/>
    </row>
    <row r="184" spans="1:14" ht="21.75" customHeight="1" x14ac:dyDescent="0.2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1" t="str">
        <f t="shared" si="5"/>
        <v/>
      </c>
      <c r="L184" s="30"/>
      <c r="M184" s="30"/>
      <c r="N184" s="30"/>
    </row>
    <row r="185" spans="1:14" ht="21.75" customHeight="1" x14ac:dyDescent="0.2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9" t="str">
        <f t="shared" si="5"/>
        <v/>
      </c>
      <c r="L185" s="28"/>
      <c r="M185" s="28"/>
      <c r="N185" s="28"/>
    </row>
    <row r="186" spans="1:14" ht="21.75" customHeight="1" x14ac:dyDescent="0.2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1" t="str">
        <f t="shared" si="5"/>
        <v/>
      </c>
      <c r="L186" s="30"/>
      <c r="M186" s="30"/>
      <c r="N186" s="30"/>
    </row>
    <row r="187" spans="1:14" ht="21.75" customHeight="1" x14ac:dyDescent="0.25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9" t="str">
        <f t="shared" si="5"/>
        <v/>
      </c>
      <c r="L187" s="28"/>
      <c r="M187" s="28"/>
      <c r="N187" s="28"/>
    </row>
    <row r="188" spans="1:14" ht="21.75" customHeight="1" x14ac:dyDescent="0.2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1" t="str">
        <f t="shared" si="5"/>
        <v/>
      </c>
      <c r="L188" s="30"/>
      <c r="M188" s="30"/>
      <c r="N188" s="30"/>
    </row>
    <row r="189" spans="1:14" ht="21.75" customHeight="1" x14ac:dyDescent="0.25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9" t="str">
        <f t="shared" si="5"/>
        <v/>
      </c>
      <c r="L189" s="28"/>
      <c r="M189" s="28"/>
      <c r="N189" s="28"/>
    </row>
    <row r="190" spans="1:14" ht="21.75" customHeight="1" x14ac:dyDescent="0.2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1" t="str">
        <f t="shared" si="5"/>
        <v/>
      </c>
      <c r="L190" s="30"/>
      <c r="M190" s="30"/>
      <c r="N190" s="30"/>
    </row>
    <row r="191" spans="1:14" ht="21.75" customHeight="1" x14ac:dyDescent="0.25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9" t="str">
        <f t="shared" si="5"/>
        <v/>
      </c>
      <c r="L191" s="28"/>
      <c r="M191" s="28"/>
      <c r="N191" s="28"/>
    </row>
    <row r="192" spans="1:14" ht="21.75" customHeight="1" x14ac:dyDescent="0.2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1" t="str">
        <f t="shared" si="5"/>
        <v/>
      </c>
      <c r="L192" s="30"/>
      <c r="M192" s="30"/>
      <c r="N192" s="30"/>
    </row>
    <row r="193" spans="1:14" ht="21.75" customHeight="1" x14ac:dyDescent="0.25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9" t="str">
        <f t="shared" si="5"/>
        <v/>
      </c>
      <c r="L193" s="28"/>
      <c r="M193" s="28"/>
      <c r="N193" s="28"/>
    </row>
    <row r="194" spans="1:14" ht="21.75" customHeight="1" x14ac:dyDescent="0.2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1" t="str">
        <f t="shared" ref="K194:K201" si="6">IF(H194="","",IF(H194="Win",J194+(F194*VALUE(RIGHT(G194,1))),IF(H194="Loss",J194-F194,IF(H194="En cours","En cours",J194))))</f>
        <v/>
      </c>
      <c r="L194" s="30"/>
      <c r="M194" s="30"/>
      <c r="N194" s="30"/>
    </row>
    <row r="195" spans="1:14" ht="21.75" customHeight="1" x14ac:dyDescent="0.2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9" t="str">
        <f t="shared" si="6"/>
        <v/>
      </c>
      <c r="L195" s="28"/>
      <c r="M195" s="28"/>
      <c r="N195" s="28"/>
    </row>
    <row r="196" spans="1:14" ht="21.75" customHeight="1" x14ac:dyDescent="0.2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1" t="str">
        <f t="shared" si="6"/>
        <v/>
      </c>
      <c r="L196" s="30"/>
      <c r="M196" s="30"/>
      <c r="N196" s="30"/>
    </row>
    <row r="197" spans="1:14" ht="21.75" customHeight="1" x14ac:dyDescent="0.25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9" t="str">
        <f t="shared" si="6"/>
        <v/>
      </c>
      <c r="L197" s="28"/>
      <c r="M197" s="28"/>
      <c r="N197" s="28"/>
    </row>
    <row r="198" spans="1:14" ht="21.75" customHeight="1" x14ac:dyDescent="0.2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1" t="str">
        <f t="shared" si="6"/>
        <v/>
      </c>
      <c r="L198" s="30"/>
      <c r="M198" s="30"/>
      <c r="N198" s="30"/>
    </row>
    <row r="199" spans="1:14" ht="21.75" customHeight="1" x14ac:dyDescent="0.25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9" t="str">
        <f t="shared" si="6"/>
        <v/>
      </c>
      <c r="L199" s="28"/>
      <c r="M199" s="28"/>
      <c r="N199" s="28"/>
    </row>
    <row r="200" spans="1:14" ht="21.75" customHeight="1" x14ac:dyDescent="0.2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1" t="str">
        <f t="shared" si="6"/>
        <v/>
      </c>
      <c r="L200" s="30"/>
      <c r="M200" s="30"/>
      <c r="N200" s="30"/>
    </row>
    <row r="201" spans="1:14" ht="21.75" customHeight="1" x14ac:dyDescent="0.25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9" t="str">
        <f t="shared" si="6"/>
        <v/>
      </c>
      <c r="L201" s="28"/>
      <c r="M201" s="28"/>
      <c r="N201" s="28"/>
    </row>
  </sheetData>
  <conditionalFormatting sqref="H4">
    <cfRule type="cellIs" dxfId="13" priority="4" operator="equal">
      <formula>"En cours"</formula>
    </cfRule>
  </conditionalFormatting>
  <conditionalFormatting sqref="H3">
    <cfRule type="cellIs" dxfId="12" priority="5" operator="equal">
      <formula>"Win"</formula>
    </cfRule>
    <cfRule type="cellIs" dxfId="11" priority="6" operator="equal">
      <formula>"Lost"</formula>
    </cfRule>
  </conditionalFormatting>
  <conditionalFormatting sqref="H2">
    <cfRule type="cellIs" dxfId="10" priority="7" operator="equal">
      <formula>"Win"</formula>
    </cfRule>
    <cfRule type="cellIs" dxfId="9" priority="8" operator="equal">
      <formula>"Lost"</formula>
    </cfRule>
    <cfRule type="cellIs" dxfId="8" priority="9" operator="equal">
      <formula>"Win"</formula>
    </cfRule>
  </conditionalFormatting>
  <conditionalFormatting sqref="E2:F2">
    <cfRule type="cellIs" dxfId="7" priority="10" operator="equal">
      <formula>"Sell"</formula>
    </cfRule>
    <cfRule type="cellIs" priority="11" operator="equal">
      <formula>"Buy"</formula>
    </cfRule>
  </conditionalFormatting>
  <conditionalFormatting sqref="E3:F3">
    <cfRule type="cellIs" dxfId="6" priority="12" operator="equal">
      <formula>"Sell"</formula>
    </cfRule>
  </conditionalFormatting>
  <conditionalFormatting sqref="E1:F1048576">
    <cfRule type="cellIs" dxfId="5" priority="13" operator="equal">
      <formula>"Buy"</formula>
    </cfRule>
  </conditionalFormatting>
  <conditionalFormatting sqref="H1:H1048576">
    <cfRule type="cellIs" dxfId="4" priority="14" operator="equal">
      <formula>"Lost"</formula>
    </cfRule>
    <cfRule type="cellIs" dxfId="3" priority="15" operator="equal">
      <formula>"Win"</formula>
    </cfRule>
    <cfRule type="cellIs" dxfId="2" priority="2" operator="equal">
      <formula>"En cours"</formula>
    </cfRule>
    <cfRule type="cellIs" dxfId="1" priority="1" operator="equal">
      <formula>"Loss"</formula>
    </cfRule>
  </conditionalFormatting>
  <conditionalFormatting sqref="H5">
    <cfRule type="cellIs" dxfId="0" priority="16" operator="equal">
      <formula>"Lost"</formula>
    </cfRule>
  </conditionalFormatting>
  <dataValidations count="10">
    <dataValidation type="list" allowBlank="1" showInputMessage="1" showErrorMessage="1" sqref="E1:E1201">
      <formula1>"Buy,Sell"</formula1>
      <formula2>0</formula2>
    </dataValidation>
    <dataValidation type="date" allowBlank="1" showInputMessage="1" showErrorMessage="1" sqref="A1:A1201">
      <formula1>43831</formula1>
      <formula2>49674</formula2>
    </dataValidation>
    <dataValidation type="list" allowBlank="1" showInputMessage="1" showErrorMessage="1" sqref="H1 H202:H1201">
      <formula1>"Win,Lost,En cours"</formula1>
      <formula2>0</formula2>
    </dataValidation>
    <dataValidation type="list" allowBlank="1" showInputMessage="1" showErrorMessage="1" sqref="D1:D1201">
      <formula1>"Heltrading ( DKH )"</formula1>
      <formula2>0</formula2>
    </dataValidation>
    <dataValidation type="list" allowBlank="1" showInputMessage="1" showErrorMessage="1" sqref="B1:B3 B5:B1201">
      <formula1>"BTCUSD,CADJPY,CHFJPY,EURJPY,EURUSD,GBPUSD,NZDUSD,US100,US30,USDJPY,XAUUSD,EURNZD,GBPJPY"</formula1>
      <formula2>0</formula2>
    </dataValidation>
    <dataValidation type="list" allowBlank="1" showInputMessage="1" showErrorMessage="1" sqref="B4">
      <formula1>"BTCUSD,CADJPY,CHFJPY,EURJPY,EURUSD,GBPUSD,GBPNZD,NZDUSD,US100,US30,USDJPY,XAUUSD,EURNZD,GBPJPY,"</formula1>
      <formula2>0</formula2>
    </dataValidation>
    <dataValidation type="list" allowBlank="1" showInputMessage="1" promptTitle="État Émotionnel" prompt="Sélectionnez votre état émotionnel" sqref="N2:N201">
      <formula1>"Calme,Confiant,Hésitant,Stressé,Euphorique,Neutre,Fatigué,Revanche"</formula1>
      <formula2>0</formula2>
    </dataValidation>
    <dataValidation type="list" allowBlank="1" sqref="H2:H201">
      <formula1>"Win,Loss,En cours"</formula1>
      <formula2>0</formula2>
    </dataValidation>
    <dataValidation type="list" allowBlank="1" showInputMessage="1" showErrorMessage="1" sqref="C1:C1048576">
      <mc:AlternateContent xmlns:x12ac="http://schemas.microsoft.com/office/spreadsheetml/2011/1/ac" xmlns:mc="http://schemas.openxmlformats.org/markup-compatibility/2006">
        <mc:Choice Requires="x12ac">
          <x12ac:list>"Daily , H4 , H1, M15 ,M5"," Daily , H4 , H1, M15 ,M5 ,M1"," Daily , H4 , H1, M15 "</x12ac:list>
        </mc:Choice>
        <mc:Fallback>
          <formula1>"Daily , H4 , H1, M15 ,M5, Daily , H4 , H1, M15 ,M5 ,M1, Daily , H4 , H1, M15 "</formula1>
        </mc:Fallback>
      </mc:AlternateContent>
    </dataValidation>
    <dataValidation type="list" allowBlank="1" showInputMessage="1" showErrorMessage="1" sqref="G1:G1048576">
      <formula1>"1:2 ,1:3 ,1:4 ,1:5,1:6 ,1:7 ,1:8 ,1:9,1:10,1:19"</formula1>
    </dataValidation>
  </dataValidations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showGridLines="0" zoomScaleNormal="100" workbookViewId="0"/>
  </sheetViews>
  <sheetFormatPr baseColWidth="10" defaultColWidth="9.140625" defaultRowHeight="15" x14ac:dyDescent="0.25"/>
  <cols>
    <col min="1" max="1" width="24" customWidth="1"/>
    <col min="2" max="2" width="18" customWidth="1"/>
  </cols>
  <sheetData>
    <row r="1" spans="1:2" ht="31.5" customHeight="1" x14ac:dyDescent="0.25">
      <c r="A1" s="44" t="s">
        <v>28</v>
      </c>
      <c r="B1" s="44"/>
    </row>
    <row r="2" spans="1:2" ht="25.5" customHeight="1" x14ac:dyDescent="0.25">
      <c r="A2" s="32" t="s">
        <v>29</v>
      </c>
      <c r="B2" s="33">
        <f>COUNTA('Trading Journal'!A2:A201)</f>
        <v>4</v>
      </c>
    </row>
    <row r="3" spans="1:2" ht="25.5" customHeight="1" x14ac:dyDescent="0.25">
      <c r="A3" s="32" t="s">
        <v>30</v>
      </c>
      <c r="B3" s="34">
        <f>COUNTIF('Trading Journal'!H2:H201,"Win")</f>
        <v>2</v>
      </c>
    </row>
    <row r="4" spans="1:2" ht="25.5" customHeight="1" x14ac:dyDescent="0.25">
      <c r="A4" s="32" t="s">
        <v>31</v>
      </c>
      <c r="B4" s="35">
        <f>COUNTIF('Trading Journal'!H2:H201,"Loss")</f>
        <v>1</v>
      </c>
    </row>
    <row r="5" spans="1:2" ht="25.5" customHeight="1" x14ac:dyDescent="0.25">
      <c r="A5" s="32" t="s">
        <v>32</v>
      </c>
      <c r="B5" s="36">
        <f>COUNTIF('Trading Journal'!H2:H201,"En cours")</f>
        <v>1</v>
      </c>
    </row>
    <row r="6" spans="1:2" ht="25.5" customHeight="1" x14ac:dyDescent="0.25">
      <c r="A6" s="32" t="s">
        <v>33</v>
      </c>
      <c r="B6" s="33" t="str">
        <f>IF(B3+B4=0,"",ROUND(B3/(B3+B4)*100,1)&amp;"%")</f>
        <v>66,7%</v>
      </c>
    </row>
    <row r="7" spans="1:2" ht="25.5" customHeight="1" x14ac:dyDescent="0.25">
      <c r="A7" s="32" t="s">
        <v>34</v>
      </c>
      <c r="B7" s="37">
        <f>'Trading Journal'!J2</f>
        <v>20</v>
      </c>
    </row>
    <row r="8" spans="1:2" ht="25.5" customHeight="1" x14ac:dyDescent="0.25">
      <c r="A8" s="32" t="s">
        <v>35</v>
      </c>
      <c r="B8" s="38" t="str">
        <f>IFERROR(LOOKUP(2,1/('Trading Journal'!K2:K201&lt;&gt;""),'Trading Journal'!K2:K201),"—")</f>
        <v>En cours</v>
      </c>
    </row>
    <row r="9" spans="1:2" ht="25.5" customHeight="1" x14ac:dyDescent="0.25">
      <c r="A9" s="32" t="s">
        <v>36</v>
      </c>
      <c r="B9" s="38">
        <f>IFERROR(SUMIF('Trading Journal'!H2:H201,"Win",'Trading Journal'!K2:K201)-SUMIF('Trading Journal'!H2:H201,"Win",'Trading Journal'!J2:J201)-(SUMIF('Trading Journal'!H2:H201,"Loss",'Trading Journal'!F2:F201)),0)</f>
        <v>25.03</v>
      </c>
    </row>
    <row r="10" spans="1:2" ht="25.5" customHeight="1" x14ac:dyDescent="0.25">
      <c r="A10" s="32" t="s">
        <v>37</v>
      </c>
      <c r="B10" s="37">
        <f>IFERROR(AVERAGEIF('Trading Journal'!H2:H201,"&lt;&gt;",'Trading Journal'!F2:F201),"—")</f>
        <v>7.4524999999999997</v>
      </c>
    </row>
    <row r="11" spans="1:2" ht="25.5" customHeight="1" x14ac:dyDescent="0.25">
      <c r="A11" s="32" t="s">
        <v>38</v>
      </c>
      <c r="B11" s="34">
        <f>IFERROR(SUMIF('Trading Journal'!H2:H201,"Win",'Trading Journal'!I2:I201),0)</f>
        <v>407</v>
      </c>
    </row>
    <row r="12" spans="1:2" ht="25.5" customHeight="1" x14ac:dyDescent="0.25">
      <c r="A12" s="32" t="s">
        <v>39</v>
      </c>
      <c r="B12" s="34">
        <f>IFERROR(MAX(IF('Trading Journal'!H2:H201="Win",VALUE(RIGHT('Trading Journal'!G2:G201,1)))),"—")</f>
        <v>0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Trading Journal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2026-03-11T07:56:22Z</dcterms:created>
  <dcterms:modified xsi:type="dcterms:W3CDTF">2026-03-18T03:30:48Z</dcterms:modified>
  <dc:language>en-US</dc:language>
</cp:coreProperties>
</file>