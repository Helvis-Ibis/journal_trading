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ding Journal" sheetId="1" state="visible" r:id="rId3"/>
    <sheet name="Statistiqu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<sst xmlns="http://schemas.openxmlformats.org/spreadsheetml/2006/main" count="58" uniqueCount="49">
  <si>
    <t xml:space="preserve">Date</t>
  </si>
  <si>
    <t xml:space="preserve">Paire</t>
  </si>
  <si>
    <t xml:space="preserve">Timeframe</t>
  </si>
  <si>
    <t xml:space="preserve">Stratégie / Setup</t>
  </si>
  <si>
    <t xml:space="preserve">Type (Buy/Sell)</t>
  </si>
  <si>
    <t xml:space="preserve">Risk Amount</t>
  </si>
  <si>
    <t xml:space="preserve">Risk/Reward</t>
  </si>
  <si>
    <t xml:space="preserve">Résultat (Win/Loss)</t>
  </si>
  <si>
    <t xml:space="preserve">Pips</t>
  </si>
  <si>
    <t xml:space="preserve">Capital Avant ($)</t>
  </si>
  <si>
    <t xml:space="preserve">Capital Après ($)</t>
  </si>
  <si>
    <t xml:space="preserve">Name Screenshot</t>
  </si>
  <si>
    <t xml:space="preserve">Notes</t>
  </si>
  <si>
    <t xml:space="preserve">État Émotionnel</t>
  </si>
  <si>
    <t xml:space="preserve">12/03/2026</t>
  </si>
  <si>
    <t xml:space="preserve">EURJPY</t>
  </si>
  <si>
    <t xml:space="preserve">Daily , H4 , H1, M15 ,M5 </t>
  </si>
  <si>
    <t xml:space="preserve">Heltrading ( DKH )</t>
  </si>
  <si>
    <t xml:space="preserve">Sell</t>
  </si>
  <si>
    <t xml:space="preserve">01:03</t>
  </si>
  <si>
    <t xml:space="preserve">Win</t>
  </si>
  <si>
    <t xml:space="preserve">EURJPY_2026-03-13 041840</t>
  </si>
  <si>
    <t xml:space="preserve">Patient , calme</t>
  </si>
  <si>
    <t xml:space="preserve">15/03/2026</t>
  </si>
  <si>
    <t xml:space="preserve">BTCUSD</t>
  </si>
  <si>
    <t xml:space="preserve">Buy</t>
  </si>
  <si>
    <t xml:space="preserve">01:04</t>
  </si>
  <si>
    <t xml:space="preserve">BTCUSD_2026-03-15 042122</t>
  </si>
  <si>
    <t xml:space="preserve">CADJPY</t>
  </si>
  <si>
    <t xml:space="preserve">01:02</t>
  </si>
  <si>
    <t xml:space="preserve">Loss</t>
  </si>
  <si>
    <t xml:space="preserve">CADJPY_2026-03-17 042232</t>
  </si>
  <si>
    <t xml:space="preserve">US30</t>
  </si>
  <si>
    <t xml:space="preserve">Daily , H4 , H1, M15 ,M5</t>
  </si>
  <si>
    <t xml:space="preserve">01:19</t>
  </si>
  <si>
    <t xml:space="preserve">En cours</t>
  </si>
  <si>
    <t xml:space="preserve">US30_2026-03-18 041657</t>
  </si>
  <si>
    <t xml:space="preserve">📊 Statistiques Trading</t>
  </si>
  <si>
    <t xml:space="preserve">Total Trades</t>
  </si>
  <si>
    <t xml:space="preserve">Trades Gagnants ✅</t>
  </si>
  <si>
    <t xml:space="preserve">Trades Perdants ❌</t>
  </si>
  <si>
    <t xml:space="preserve">En cours ⏳</t>
  </si>
  <si>
    <t xml:space="preserve">Win Rate (%)</t>
  </si>
  <si>
    <t xml:space="preserve">Capital Initial ($)</t>
  </si>
  <si>
    <t xml:space="preserve">Capital Actuel ($)</t>
  </si>
  <si>
    <t xml:space="preserve">Profit Total ($)</t>
  </si>
  <si>
    <t xml:space="preserve">Risque Moyen ($)</t>
  </si>
  <si>
    <t xml:space="preserve">Total Pips</t>
  </si>
  <si>
    <t xml:space="preserve">Meilleur RR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</si>
</sst>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@"/>
    <numFmt numFmtId="167" formatCode="General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libri"/>
      <family val="2"/>
      <charset val="1"/>
    </font>
    <font>
      <b val="true"/>
      <sz val="10"/>
      <color rgb="FF1F4E78"/>
      <name val="Calibri"/>
      <family val="0"/>
      <charset val="1"/>
    </font>
    <font>
      <sz val="10"/>
      <color rgb="FF555555"/>
      <name val="Calibri"/>
      <family val="0"/>
      <charset val="1"/>
    </font>
    <font>
      <b val="true"/>
      <sz val="10"/>
      <color rgb="FFB71C1C"/>
      <name val="Calibri"/>
      <family val="0"/>
      <charset val="1"/>
    </font>
    <font>
      <b val="true"/>
      <sz val="10"/>
      <color rgb="FF2E7D32"/>
      <name val="Calibri"/>
      <family val="0"/>
      <charset val="1"/>
    </font>
    <font>
      <b val="true"/>
      <sz val="10"/>
      <color rgb="FF555555"/>
      <name val="Calibri"/>
      <family val="0"/>
      <charset val="1"/>
    </font>
    <font>
      <b val="true"/>
      <sz val="10"/>
      <color rgb="FF0D47A1"/>
      <name val="Calibri"/>
      <family val="0"/>
      <charset val="1"/>
    </font>
    <font>
      <b val="true"/>
      <sz val="10"/>
      <color rgb="FF1565C0"/>
      <name val="Calibri"/>
      <family val="2"/>
      <charset val="1"/>
    </font>
    <font>
      <b val="true"/>
      <sz val="10"/>
      <color rgb="FF6A1B9A"/>
      <name val="Calibri"/>
      <family val="0"/>
      <charset val="1"/>
    </font>
    <font>
      <b val="true"/>
      <sz val="10"/>
      <color rgb="FF1B5E20"/>
      <name val="Calibri"/>
      <family val="0"/>
      <charset val="1"/>
    </font>
    <font>
      <b val="true"/>
      <sz val="10"/>
      <color rgb="FFF57F17"/>
      <name val="Calibri"/>
      <family val="2"/>
      <charset val="1"/>
    </font>
    <font>
      <sz val="10"/>
      <color rgb="FF6A1B9A"/>
      <name val="Calibri"/>
      <family val="0"/>
      <charset val="1"/>
    </font>
    <font>
      <sz val="10"/>
      <color rgb="FF555555"/>
      <name val="Calibri"/>
      <family val="2"/>
      <charset val="1"/>
    </font>
    <font>
      <b val="true"/>
      <sz val="10"/>
      <color rgb="FF555555"/>
      <name val="Calibri"/>
      <family val="2"/>
      <charset val="1"/>
    </font>
    <font>
      <b val="true"/>
      <sz val="13"/>
      <color rgb="FFFFFFFF"/>
      <name val="Calibri"/>
      <family val="0"/>
      <charset val="1"/>
    </font>
    <font>
      <b val="true"/>
      <sz val="11"/>
      <color rgb="FF1F4E78"/>
      <name val="Calibri"/>
      <family val="0"/>
      <charset val="1"/>
    </font>
    <font>
      <b val="true"/>
      <sz val="11"/>
      <color rgb="FF2E7D32"/>
      <name val="Calibri"/>
      <family val="0"/>
      <charset val="1"/>
    </font>
    <font>
      <b val="true"/>
      <sz val="11"/>
      <color rgb="FFC62828"/>
      <name val="Calibri"/>
      <family val="0"/>
      <charset val="1"/>
    </font>
    <font>
      <b val="true"/>
      <sz val="11"/>
      <color rgb="FFF57F17"/>
      <name val="Calibri"/>
      <family val="0"/>
      <charset val="1"/>
    </font>
    <font>
      <b val="true"/>
      <sz val="11"/>
      <color rgb="FF555555"/>
      <name val="Calibri"/>
      <family val="0"/>
      <charset val="1"/>
    </font>
    <font>
      <b val="true"/>
      <sz val="11"/>
      <color rgb="FF0D47A1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D47A1"/>
      </patternFill>
    </fill>
    <fill>
      <patternFill patternType="solid">
        <fgColor rgb="FFE8F5E9"/>
        <bgColor rgb="FFEEF2FF"/>
      </patternFill>
    </fill>
    <fill>
      <patternFill patternType="solid">
        <fgColor rgb="FFFFFDE7"/>
        <bgColor rgb="FFFFFFFF"/>
      </patternFill>
    </fill>
    <fill>
      <patternFill patternType="solid">
        <fgColor rgb="FFFFEBEE"/>
        <bgColor rgb="FFEEF2FF"/>
      </patternFill>
    </fill>
    <fill>
      <patternFill patternType="solid">
        <fgColor rgb="FFFFFFFF"/>
        <bgColor rgb="FFF5F8FF"/>
      </patternFill>
    </fill>
    <fill>
      <patternFill patternType="solid">
        <fgColor rgb="FFF5F8FF"/>
        <bgColor rgb="FFEEF2FF"/>
      </patternFill>
    </fill>
    <fill>
      <patternFill patternType="solid">
        <fgColor rgb="FFEEF2FF"/>
        <bgColor rgb="FFF5F8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5F8FF"/>
          <bgColor rgb="FF000000"/>
        </patternFill>
      </fill>
    </dxf>
    <dxf>
      <fill>
        <patternFill patternType="solid">
          <fgColor rgb="FFFFFDE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4F81BD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ill>
        <patternFill patternType="solid">
          <fgColor rgb="FFFFEBEE"/>
          <bgColor rgb="FF000000"/>
        </patternFill>
      </fill>
    </dxf>
    <dxf>
      <fill>
        <patternFill patternType="solid">
          <fgColor rgb="FF0D47A1"/>
          <bgColor rgb="FF000000"/>
        </patternFill>
      </fill>
    </dxf>
    <dxf>
      <fill>
        <patternFill patternType="solid">
          <fgColor rgb="FF1565C0"/>
          <bgColor rgb="FF000000"/>
        </patternFill>
      </fill>
    </dxf>
    <dxf>
      <fill>
        <patternFill patternType="solid">
          <fgColor rgb="FF6A1B9A"/>
          <bgColor rgb="FF000000"/>
        </patternFill>
      </fill>
    </dxf>
    <dxf>
      <font>
        <b val="1"/>
        <color rgb="FFFFFFFF"/>
      </font>
      <fill>
        <patternFill>
          <bgColor rgb="FFFF0000"/>
        </patternFill>
      </fill>
    </dxf>
    <dxf>
      <font>
        <b val="1"/>
        <color rgb="FFFFFFFF"/>
      </font>
      <fill>
        <patternFill>
          <bgColor theme="4"/>
        </patternFill>
      </fill>
    </dxf>
    <dxf>
      <font>
        <b val="1"/>
      </font>
      <fill>
        <patternFill>
          <bgColor rgb="FFC00000"/>
        </patternFill>
      </fill>
    </dxf>
    <dxf>
      <font>
        <b val="1"/>
      </font>
      <fill>
        <patternFill>
          <bgColor rgb="FF00B050"/>
        </patternFill>
      </fill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FFFFFF"/>
      </font>
      <fill>
        <patternFill>
          <bgColor rgb="FF00B050"/>
        </patternFill>
      </fill>
    </dxf>
    <dxf>
      <font>
        <b val="1"/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0000"/>
      </font>
    </dxf>
    <dxf>
      <font>
        <name val="Calibri"/>
        <charset val="1"/>
        <family val="2"/>
        <color rgb="FF000000"/>
        <sz val="11"/>
      </font>
      <alignment horizontal="general" vertical="bottom" textRotation="0" wrapText="false" indent="0" shrinkToFit="false"/>
    </dxf>
    <dxf>
      <font>
        <b val="1"/>
        <color rgb="FFFF0000"/>
      </font>
    </dxf>
    <dxf>
      <font>
        <b val="1"/>
        <color rgb="FF00B05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1B5E20"/>
      <rgbColor rgb="FF000080"/>
      <rgbColor rgb="FF808000"/>
      <rgbColor rgb="FF6A1B9A"/>
      <rgbColor rgb="FF00B050"/>
      <rgbColor rgb="FFBDBDBD"/>
      <rgbColor rgb="FF808080"/>
      <rgbColor rgb="FF9999FF"/>
      <rgbColor rgb="FFC62828"/>
      <rgbColor rgb="FFFFFDE7"/>
      <rgbColor rgb="FFE8F5E9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F"/>
      <rgbColor rgb="FFF5F8FF"/>
      <rgbColor rgb="FFFFEB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57F17"/>
      <rgbColor rgb="FF4F81BD"/>
      <rgbColor rgb="FF969696"/>
      <rgbColor rgb="FF0D47A1"/>
      <rgbColor rgb="FF2E7D32"/>
      <rgbColor rgb="FF003300"/>
      <rgbColor rgb="FF333300"/>
      <rgbColor rgb="FFB71C1C"/>
      <rgbColor rgb="FF993366"/>
      <rgbColor rgb="FF1F4E78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JournalTrading" displayName="JournalTrading" ref="A1:N200" headerRowCount="1" totalsRowCount="0" totalsRowShown="0">
  <autoFilter ref="A1:N200"/>
  <tableColumns count="14">
    <tableColumn id="1" name="Date"/>
    <tableColumn id="2" name="Paire"/>
    <tableColumn id="3" name="Timeframe"/>
    <tableColumn id="4" name="Stratégie / Setup"/>
    <tableColumn id="5" name="Type (Buy/Sell)"/>
    <tableColumn id="6" name="Risk Amount"/>
    <tableColumn id="7" name="Risk/Reward"/>
    <tableColumn id="8" name="Résultat (Win/Loss)"/>
    <tableColumn id="9" name="Pips"/>
    <tableColumn id="10" name="Capital Avant ($)"/>
    <tableColumn id="11" name="Capital Après ($)"/>
    <tableColumn id="12" name="Name Screenshot"/>
    <tableColumn id="13" name="Notes"/>
    <tableColumn id="14" name="État Émotionne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1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H18" activeCellId="0" sqref="H18"/>
    </sheetView>
  </sheetViews>
  <sheetFormatPr defaultColWidth="9.1484375" defaultRowHeight="23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2" width="10"/>
    <col collapsed="false" customWidth="true" hidden="false" outlineLevel="0" max="3" min="3" style="3" width="28"/>
    <col collapsed="false" customWidth="true" hidden="false" outlineLevel="0" max="4" min="4" style="4" width="20"/>
    <col collapsed="false" customWidth="true" hidden="false" outlineLevel="0" max="5" min="5" style="1" width="14"/>
    <col collapsed="false" customWidth="true" hidden="false" outlineLevel="0" max="6" min="6" style="5" width="13"/>
    <col collapsed="false" customWidth="true" hidden="false" outlineLevel="0" max="7" min="7" style="1" width="12"/>
    <col collapsed="false" customWidth="true" hidden="false" outlineLevel="0" max="8" min="8" style="0" width="16"/>
    <col collapsed="false" customWidth="true" hidden="false" outlineLevel="0" max="9" min="9" style="1" width="9.29"/>
    <col collapsed="false" customWidth="true" hidden="false" outlineLevel="0" max="11" min="10" style="5" width="15"/>
    <col collapsed="false" customWidth="true" hidden="false" outlineLevel="0" max="12" min="12" style="6" width="32"/>
    <col collapsed="false" customWidth="true" hidden="false" outlineLevel="0" max="14" min="13" style="1" width="32"/>
  </cols>
  <sheetData>
    <row r="1" customFormat="false" ht="36" hidden="false" customHeight="true" outlineLevel="0" collapsed="false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8" t="s">
        <v>11</v>
      </c>
      <c r="M1" s="7" t="s">
        <v>12</v>
      </c>
      <c r="N1" s="7" t="s">
        <v>13</v>
      </c>
    </row>
    <row r="2" customFormat="false" ht="24" hidden="false" customHeight="true" outlineLevel="0" collapsed="false">
      <c r="A2" s="9" t="s">
        <v>14</v>
      </c>
      <c r="B2" s="10" t="s">
        <v>15</v>
      </c>
      <c r="C2" s="11" t="s">
        <v>16</v>
      </c>
      <c r="D2" s="11" t="s">
        <v>17</v>
      </c>
      <c r="E2" s="12" t="s">
        <v>18</v>
      </c>
      <c r="F2" s="11" t="n">
        <v>2</v>
      </c>
      <c r="G2" s="13" t="s">
        <v>19</v>
      </c>
      <c r="H2" s="14" t="s">
        <v>20</v>
      </c>
      <c r="I2" s="11" t="n">
        <v>149</v>
      </c>
      <c r="J2" s="15" t="n">
        <v>20</v>
      </c>
      <c r="K2" s="16" t="n">
        <f aca="false">IF(H2="","",IF(H2="Win",J2+(F2*VALUE(MID(G2,FIND(":",G2)+1,LEN(G2)))),IF(H2="Loss",J2-F2,IF(H2="En cours","En cours",J2))))</f>
        <v>26</v>
      </c>
      <c r="L2" s="17" t="s">
        <v>21</v>
      </c>
      <c r="M2" s="18"/>
      <c r="N2" s="19" t="s">
        <v>22</v>
      </c>
    </row>
    <row r="3" customFormat="false" ht="24" hidden="false" customHeight="true" outlineLevel="0" collapsed="false">
      <c r="A3" s="9" t="s">
        <v>23</v>
      </c>
      <c r="B3" s="10" t="s">
        <v>24</v>
      </c>
      <c r="C3" s="11" t="s">
        <v>16</v>
      </c>
      <c r="D3" s="11" t="s">
        <v>17</v>
      </c>
      <c r="E3" s="20" t="s">
        <v>25</v>
      </c>
      <c r="F3" s="11" t="n">
        <v>6</v>
      </c>
      <c r="G3" s="13" t="s">
        <v>26</v>
      </c>
      <c r="H3" s="14" t="s">
        <v>20</v>
      </c>
      <c r="I3" s="11" t="n">
        <v>258</v>
      </c>
      <c r="J3" s="15" t="n">
        <v>30</v>
      </c>
      <c r="K3" s="16" t="n">
        <f aca="false">IF(H3="","",IF(H3="Win",J3+(F3*VALUE(MID(G3,FIND(":",G3)+1,LEN(G3)))),IF(H3="Loss",J3-F3,IF(H3="En cours","En cours",J3))))</f>
        <v>54</v>
      </c>
      <c r="L3" s="17" t="s">
        <v>27</v>
      </c>
      <c r="M3" s="18"/>
      <c r="N3" s="19" t="s">
        <v>22</v>
      </c>
    </row>
    <row r="4" customFormat="false" ht="24" hidden="false" customHeight="true" outlineLevel="0" collapsed="false">
      <c r="A4" s="21" t="n">
        <v>46097</v>
      </c>
      <c r="B4" s="22" t="s">
        <v>28</v>
      </c>
      <c r="C4" s="23" t="s">
        <v>16</v>
      </c>
      <c r="D4" s="23" t="s">
        <v>17</v>
      </c>
      <c r="E4" s="24" t="s">
        <v>25</v>
      </c>
      <c r="F4" s="23" t="n">
        <v>4.97</v>
      </c>
      <c r="G4" s="25" t="s">
        <v>29</v>
      </c>
      <c r="H4" s="26" t="s">
        <v>30</v>
      </c>
      <c r="I4" s="23" t="n">
        <v>88</v>
      </c>
      <c r="J4" s="27" t="n">
        <v>54</v>
      </c>
      <c r="K4" s="28" t="n">
        <f aca="false">IF(H4="","",IF(H4="Win",J4+(F4*VALUE(MID(G4,FIND(":",G4)+1,LEN(G4)))),IF(H4="Loss",J4-F4,IF(H4="En cours","En cours",J4))))</f>
        <v>49.03</v>
      </c>
      <c r="L4" s="29" t="s">
        <v>31</v>
      </c>
      <c r="M4" s="30"/>
      <c r="N4" s="31"/>
    </row>
    <row r="5" customFormat="false" ht="21.75" hidden="false" customHeight="true" outlineLevel="0" collapsed="false">
      <c r="A5" s="32" t="n">
        <v>46097</v>
      </c>
      <c r="B5" s="33" t="s">
        <v>32</v>
      </c>
      <c r="C5" s="33" t="s">
        <v>33</v>
      </c>
      <c r="D5" s="33" t="s">
        <v>17</v>
      </c>
      <c r="E5" s="33" t="s">
        <v>25</v>
      </c>
      <c r="F5" s="33" t="n">
        <v>16.84</v>
      </c>
      <c r="G5" s="34" t="s">
        <v>34</v>
      </c>
      <c r="H5" s="35" t="s">
        <v>35</v>
      </c>
      <c r="I5" s="33" t="n">
        <v>377749</v>
      </c>
      <c r="J5" s="33" t="n">
        <v>49.03</v>
      </c>
      <c r="K5" s="36" t="str">
        <f aca="false">IF(H5="","",IF(H5="Win",J5+(F5*VALUE(MID(G5,FIND(":",G5)+1,LEN(G5)))),IF(H5="Loss",J5-F5,IF(H5="En cours","En cours",J5))))</f>
        <v>En cours</v>
      </c>
      <c r="L5" s="37" t="s">
        <v>36</v>
      </c>
      <c r="M5" s="33"/>
      <c r="N5" s="33"/>
    </row>
    <row r="6" customFormat="false" ht="21.75" hidden="false" customHeight="true" outlineLevel="0" collapsed="false">
      <c r="A6" s="38"/>
      <c r="B6" s="38"/>
      <c r="C6" s="38"/>
      <c r="D6" s="38"/>
      <c r="E6" s="38"/>
      <c r="F6" s="38"/>
      <c r="G6" s="38"/>
      <c r="H6" s="38"/>
      <c r="I6" s="38"/>
      <c r="J6" s="38"/>
      <c r="K6" s="39" t="str">
        <f aca="false">IF(H6="","",IF(H6="Win",J6+(F6*VALUE(MID(G6,FIND(":",G6)+1,LEN(G6)))),IF(H6="Loss",J6-F6,IF(H6="En cours","En cours",J6))))</f>
        <v/>
      </c>
      <c r="L6" s="40"/>
      <c r="M6" s="38"/>
      <c r="N6" s="38"/>
    </row>
    <row r="7" customFormat="false" ht="21.75" hidden="false" customHeight="true" outlineLevel="0" collapsed="false">
      <c r="A7" s="33"/>
      <c r="B7" s="33"/>
      <c r="C7" s="33"/>
      <c r="D7" s="33"/>
      <c r="E7" s="33"/>
      <c r="F7" s="33"/>
      <c r="G7" s="33"/>
      <c r="H7" s="33"/>
      <c r="I7" s="33"/>
      <c r="J7" s="33"/>
      <c r="K7" s="41" t="str">
        <f aca="false">IF(H7="","",IF(H7="Win",J7+(F7*VALUE(MID(G7,FIND(":",G7)+1,LEN(G7)))),IF(H7="Loss",J7-F7,IF(H7="En cours","En cours",J7))))</f>
        <v/>
      </c>
      <c r="L7" s="37"/>
      <c r="M7" s="33"/>
      <c r="N7" s="33"/>
    </row>
    <row r="8" customFormat="false" ht="21.75" hidden="false" customHeight="true" outlineLevel="0" collapsed="false">
      <c r="A8" s="38"/>
      <c r="B8" s="38"/>
      <c r="C8" s="38"/>
      <c r="D8" s="38"/>
      <c r="E8" s="38"/>
      <c r="F8" s="38"/>
      <c r="G8" s="38"/>
      <c r="H8" s="38"/>
      <c r="I8" s="38"/>
      <c r="J8" s="38"/>
      <c r="K8" s="39" t="str">
        <f aca="false">IF(H8="","",IF(H8="Win",J8+(F8*VALUE(MID(G8,FIND(":",G8)+1,LEN(G8)))),IF(H8="Loss",J8-F8,IF(H8="En cours","En cours",J8))))</f>
        <v/>
      </c>
      <c r="L8" s="40"/>
      <c r="M8" s="38"/>
      <c r="N8" s="38"/>
    </row>
    <row r="9" customFormat="false" ht="21.75" hidden="false" customHeight="true" outlineLevel="0" collapsed="false">
      <c r="A9" s="33"/>
      <c r="B9" s="33"/>
      <c r="C9" s="33"/>
      <c r="D9" s="33"/>
      <c r="E9" s="33"/>
      <c r="F9" s="33"/>
      <c r="G9" s="33"/>
      <c r="H9" s="33"/>
      <c r="I9" s="33"/>
      <c r="J9" s="33"/>
      <c r="K9" s="41" t="str">
        <f aca="false">IF(H9="","",IF(H9="Win",J9+(F9*VALUE(MID(G9,FIND(":",G9)+1,LEN(G9)))),IF(H9="Loss",J9-F9,IF(H9="En cours","En cours",J9))))</f>
        <v/>
      </c>
      <c r="L9" s="37"/>
      <c r="M9" s="33"/>
      <c r="N9" s="33"/>
    </row>
    <row r="10" customFormat="false" ht="21.75" hidden="false" customHeight="true" outlineLevel="0" collapsed="false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9" t="str">
        <f aca="false">IF(H10="","",IF(H10="Win",J10+(F10*VALUE(MID(G10,FIND(":",G10)+1,LEN(G10)))),IF(H10="Loss",J10-F10,IF(H10="En cours","En cours",J10))))</f>
        <v/>
      </c>
      <c r="L10" s="40"/>
      <c r="M10" s="38"/>
      <c r="N10" s="38"/>
    </row>
    <row r="11" customFormat="false" ht="21.75" hidden="false" customHeight="true" outlineLevel="0" collapsed="false">
      <c r="A11" s="33"/>
      <c r="B11" s="33"/>
      <c r="C11" s="33"/>
      <c r="D11" s="33"/>
      <c r="E11" s="33"/>
      <c r="F11" s="33"/>
      <c r="G11" s="33"/>
      <c r="H11" s="33"/>
      <c r="I11" s="33"/>
      <c r="J11" s="33"/>
      <c r="K11" s="41" t="str">
        <f aca="false">IF(H11="","",IF(H11="Win",J11+(F11*VALUE(MID(G11,FIND(":",G11)+1,LEN(G11)))),IF(H11="Loss",J11-F11,IF(H11="En cours","En cours",J11))))</f>
        <v/>
      </c>
      <c r="L11" s="37"/>
      <c r="M11" s="33"/>
      <c r="N11" s="33"/>
    </row>
    <row r="12" customFormat="false" ht="21.75" hidden="false" customHeight="true" outlineLevel="0" collapsed="false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9" t="str">
        <f aca="false">IF(H12="","",IF(H12="Win",J12+(F12*VALUE(MID(G12,FIND(":",G12)+1,LEN(G12)))),IF(H12="Loss",J12-F12,IF(H12="En cours","En cours",J12))))</f>
        <v/>
      </c>
      <c r="L12" s="40"/>
      <c r="M12" s="38"/>
      <c r="N12" s="38"/>
    </row>
    <row r="13" customFormat="false" ht="21.75" hidden="false" customHeight="true" outlineLevel="0" collapsed="false">
      <c r="A13" s="33"/>
      <c r="B13" s="33"/>
      <c r="C13" s="33"/>
      <c r="D13" s="33"/>
      <c r="E13" s="33"/>
      <c r="F13" s="33"/>
      <c r="G13" s="33"/>
      <c r="H13" s="33"/>
      <c r="I13" s="33"/>
      <c r="J13" s="33"/>
      <c r="K13" s="41" t="str">
        <f aca="false">IF(H13="","",IF(H13="Win",J13+(F13*VALUE(MID(G13,FIND(":",G13)+1,LEN(G13)))),IF(H13="Loss",J13-F13,IF(H13="En cours","En cours",J13))))</f>
        <v/>
      </c>
      <c r="L13" s="37"/>
      <c r="M13" s="33"/>
      <c r="N13" s="33"/>
    </row>
    <row r="14" customFormat="false" ht="21.75" hidden="false" customHeight="true" outlineLevel="0" collapsed="false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9" t="str">
        <f aca="false">IF(H14="","",IF(H14="Win",J14+(F14*VALUE(MID(G14,FIND(":",G14)+1,LEN(G14)))),IF(H14="Loss",J14-F14,IF(H14="En cours","En cours",J14))))</f>
        <v/>
      </c>
      <c r="L14" s="40"/>
      <c r="M14" s="38"/>
      <c r="N14" s="38"/>
    </row>
    <row r="15" customFormat="false" ht="21.75" hidden="false" customHeight="true" outlineLevel="0" collapsed="false">
      <c r="A15" s="33"/>
      <c r="B15" s="33"/>
      <c r="C15" s="33"/>
      <c r="D15" s="33"/>
      <c r="E15" s="33"/>
      <c r="F15" s="33"/>
      <c r="G15" s="33"/>
      <c r="H15" s="33"/>
      <c r="I15" s="33"/>
      <c r="J15" s="33"/>
      <c r="K15" s="41" t="str">
        <f aca="false">IF(H15="","",IF(H15="Win",J15+(F15*VALUE(MID(G15,FIND(":",G15)+1,LEN(G15)))),IF(H15="Loss",J15-F15,IF(H15="En cours","En cours",J15))))</f>
        <v/>
      </c>
      <c r="L15" s="37"/>
      <c r="M15" s="33"/>
      <c r="N15" s="33"/>
    </row>
    <row r="16" customFormat="false" ht="21.75" hidden="false" customHeight="true" outlineLevel="0" collapsed="false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9" t="str">
        <f aca="false">IF(H16="","",IF(H16="Win",J16+(F16*VALUE(MID(G16,FIND(":",G16)+1,LEN(G16)))),IF(H16="Loss",J16-F16,IF(H16="En cours","En cours",J16))))</f>
        <v/>
      </c>
      <c r="L16" s="40"/>
      <c r="M16" s="38"/>
      <c r="N16" s="38"/>
    </row>
    <row r="17" customFormat="false" ht="21.75" hidden="false" customHeight="true" outlineLevel="0" collapsed="false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41" t="str">
        <f aca="false">IF(H17="","",IF(H17="Win",J17+(F17*VALUE(MID(G17,FIND(":",G17)+1,LEN(G17)))),IF(H17="Loss",J17-F17,IF(H17="En cours","En cours",J17))))</f>
        <v/>
      </c>
      <c r="L17" s="37"/>
      <c r="M17" s="33"/>
      <c r="N17" s="33"/>
    </row>
    <row r="18" customFormat="false" ht="21.75" hidden="false" customHeight="true" outlineLevel="0" collapsed="false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9" t="str">
        <f aca="false">IF(H18="","",IF(H18="Win",J18+(F18*VALUE(MID(G18,FIND(":",G18)+1,LEN(G18)))),IF(H18="Loss",J18-F18,IF(H18="En cours","En cours",J18))))</f>
        <v/>
      </c>
      <c r="L18" s="40"/>
      <c r="M18" s="38"/>
      <c r="N18" s="38"/>
    </row>
    <row r="19" customFormat="false" ht="21.75" hidden="false" customHeight="true" outlineLevel="0" collapsed="false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41" t="str">
        <f aca="false">IF(H19="","",IF(H19="Win",J19+(F19*VALUE(MID(G19,FIND(":",G19)+1,LEN(G19)))),IF(H19="Loss",J19-F19,IF(H19="En cours","En cours",J19))))</f>
        <v/>
      </c>
      <c r="L19" s="37"/>
      <c r="M19" s="33"/>
      <c r="N19" s="33"/>
    </row>
    <row r="20" customFormat="false" ht="21.75" hidden="false" customHeight="true" outlineLevel="0" collapsed="false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9" t="str">
        <f aca="false">IF(H20="","",IF(H20="Win",J20+(F20*VALUE(MID(G20,FIND(":",G20)+1,LEN(G20)))),IF(H20="Loss",J20-F20,IF(H20="En cours","En cours",J20))))</f>
        <v/>
      </c>
      <c r="L20" s="40"/>
      <c r="M20" s="38"/>
      <c r="N20" s="38"/>
    </row>
    <row r="21" customFormat="false" ht="21.75" hidden="false" customHeight="true" outlineLevel="0" collapsed="false">
      <c r="A21" s="33"/>
      <c r="B21" s="33"/>
      <c r="C21" s="33"/>
      <c r="D21" s="33"/>
      <c r="E21" s="33"/>
      <c r="F21" s="33"/>
      <c r="G21" s="33"/>
      <c r="H21" s="33"/>
      <c r="I21" s="33"/>
      <c r="J21" s="33"/>
      <c r="K21" s="41" t="str">
        <f aca="false">IF(H21="","",IF(H21="Win",J21+(F21*VALUE(MID(G21,FIND(":",G21)+1,LEN(G21)))),IF(H21="Loss",J21-F21,IF(H21="En cours","En cours",J21))))</f>
        <v/>
      </c>
      <c r="L21" s="37"/>
      <c r="M21" s="33"/>
      <c r="N21" s="33"/>
    </row>
    <row r="22" customFormat="false" ht="21.75" hidden="false" customHeight="true" outlineLevel="0" collapsed="false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9" t="str">
        <f aca="false">IF(H22="","",IF(H22="Win",J22+(F22*VALUE(MID(G22,FIND(":",G22)+1,LEN(G22)))),IF(H22="Loss",J22-F22,IF(H22="En cours","En cours",J22))))</f>
        <v/>
      </c>
      <c r="L22" s="40"/>
      <c r="M22" s="38"/>
      <c r="N22" s="38"/>
    </row>
    <row r="23" customFormat="false" ht="21.75" hidden="false" customHeight="true" outlineLevel="0" collapsed="false">
      <c r="A23" s="33"/>
      <c r="B23" s="33"/>
      <c r="C23" s="33"/>
      <c r="D23" s="33"/>
      <c r="E23" s="33"/>
      <c r="F23" s="33"/>
      <c r="G23" s="33"/>
      <c r="H23" s="33"/>
      <c r="I23" s="33"/>
      <c r="J23" s="33"/>
      <c r="K23" s="41" t="str">
        <f aca="false">IF(H23="","",IF(H23="Win",J23+(F23*VALUE(MID(G23,FIND(":",G23)+1,LEN(G23)))),IF(H23="Loss",J23-F23,IF(H23="En cours","En cours",J23))))</f>
        <v/>
      </c>
      <c r="L23" s="37"/>
      <c r="M23" s="33"/>
      <c r="N23" s="33"/>
    </row>
    <row r="24" customFormat="false" ht="21.75" hidden="false" customHeight="true" outlineLevel="0" collapsed="false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9" t="str">
        <f aca="false">IF(H24="","",IF(H24="Win",J24+(F24*VALUE(MID(G24,FIND(":",G24)+1,LEN(G24)))),IF(H24="Loss",J24-F24,IF(H24="En cours","En cours",J24))))</f>
        <v/>
      </c>
      <c r="L24" s="40"/>
      <c r="M24" s="38"/>
      <c r="N24" s="38"/>
    </row>
    <row r="25" customFormat="false" ht="21.75" hidden="false" customHeight="true" outlineLevel="0" collapsed="false">
      <c r="A25" s="33"/>
      <c r="B25" s="33"/>
      <c r="C25" s="33"/>
      <c r="D25" s="33"/>
      <c r="E25" s="33"/>
      <c r="F25" s="33"/>
      <c r="G25" s="33"/>
      <c r="H25" s="33"/>
      <c r="I25" s="33"/>
      <c r="J25" s="33"/>
      <c r="K25" s="41" t="str">
        <f aca="false">IF(H25="","",IF(H25="Win",J25+(F25*VALUE(MID(G25,FIND(":",G25)+1,LEN(G25)))),IF(H25="Loss",J25-F25,IF(H25="En cours","En cours",J25))))</f>
        <v/>
      </c>
      <c r="L25" s="37"/>
      <c r="M25" s="33"/>
      <c r="N25" s="33"/>
    </row>
    <row r="26" customFormat="false" ht="21.75" hidden="false" customHeight="true" outlineLevel="0" collapsed="false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9" t="str">
        <f aca="false">IF(H26="","",IF(H26="Win",J26+(F26*VALUE(MID(G26,FIND(":",G26)+1,LEN(G26)))),IF(H26="Loss",J26-F26,IF(H26="En cours","En cours",J26))))</f>
        <v/>
      </c>
      <c r="L26" s="40"/>
      <c r="M26" s="38"/>
      <c r="N26" s="38"/>
    </row>
    <row r="27" customFormat="false" ht="21.75" hidden="false" customHeight="true" outlineLevel="0" collapsed="false">
      <c r="A27" s="33"/>
      <c r="B27" s="33"/>
      <c r="C27" s="33"/>
      <c r="D27" s="33"/>
      <c r="E27" s="33"/>
      <c r="F27" s="33"/>
      <c r="G27" s="33"/>
      <c r="H27" s="33"/>
      <c r="I27" s="33"/>
      <c r="J27" s="33"/>
      <c r="K27" s="41" t="str">
        <f aca="false">IF(H27="","",IF(H27="Win",J27+(F27*VALUE(MID(G27,FIND(":",G27)+1,LEN(G27)))),IF(H27="Loss",J27-F27,IF(H27="En cours","En cours",J27))))</f>
        <v/>
      </c>
      <c r="L27" s="37"/>
      <c r="M27" s="33"/>
      <c r="N27" s="33"/>
    </row>
    <row r="28" customFormat="false" ht="21.75" hidden="false" customHeight="true" outlineLevel="0" collapsed="false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9" t="str">
        <f aca="false">IF(H28="","",IF(H28="Win",J28+(F28*VALUE(MID(G28,FIND(":",G28)+1,LEN(G28)))),IF(H28="Loss",J28-F28,IF(H28="En cours","En cours",J28))))</f>
        <v/>
      </c>
      <c r="L28" s="40"/>
      <c r="M28" s="38"/>
      <c r="N28" s="38"/>
    </row>
    <row r="29" customFormat="false" ht="21.75" hidden="false" customHeight="true" outlineLevel="0" collapsed="false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41" t="str">
        <f aca="false">IF(H29="","",IF(H29="Win",J29+(F29*VALUE(MID(G29,FIND(":",G29)+1,LEN(G29)))),IF(H29="Loss",J29-F29,IF(H29="En cours","En cours",J29))))</f>
        <v/>
      </c>
      <c r="L29" s="37"/>
      <c r="M29" s="33"/>
      <c r="N29" s="33"/>
    </row>
    <row r="30" customFormat="false" ht="21.75" hidden="false" customHeight="true" outlineLevel="0" collapsed="false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9" t="str">
        <f aca="false">IF(H30="","",IF(H30="Win",J30+(F30*VALUE(MID(G30,FIND(":",G30)+1,LEN(G30)))),IF(H30="Loss",J30-F30,IF(H30="En cours","En cours",J30))))</f>
        <v/>
      </c>
      <c r="L30" s="40"/>
      <c r="M30" s="38"/>
      <c r="N30" s="38"/>
    </row>
    <row r="31" customFormat="false" ht="21.75" hidden="false" customHeight="true" outlineLevel="0" collapsed="false">
      <c r="A31" s="33"/>
      <c r="B31" s="33"/>
      <c r="C31" s="33"/>
      <c r="D31" s="33"/>
      <c r="E31" s="33"/>
      <c r="F31" s="33"/>
      <c r="G31" s="33"/>
      <c r="H31" s="33"/>
      <c r="I31" s="33"/>
      <c r="J31" s="33"/>
      <c r="K31" s="41" t="str">
        <f aca="false">IF(H31="","",IF(H31="Win",J31+(F31*VALUE(MID(G31,FIND(":",G31)+1,LEN(G31)))),IF(H31="Loss",J31-F31,IF(H31="En cours","En cours",J31))))</f>
        <v/>
      </c>
      <c r="L31" s="37"/>
      <c r="M31" s="33"/>
      <c r="N31" s="33"/>
    </row>
    <row r="32" customFormat="false" ht="21.75" hidden="false" customHeight="true" outlineLevel="0" collapsed="false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9" t="str">
        <f aca="false">IF(H32="","",IF(H32="Win",J32+(F32*VALUE(MID(G32,FIND(":",G32)+1,LEN(G32)))),IF(H32="Loss",J32-F32,IF(H32="En cours","En cours",J32))))</f>
        <v/>
      </c>
      <c r="L32" s="40"/>
      <c r="M32" s="38"/>
      <c r="N32" s="38"/>
    </row>
    <row r="33" customFormat="false" ht="21.75" hidden="false" customHeight="true" outlineLevel="0" collapsed="false">
      <c r="A33" s="33"/>
      <c r="B33" s="33"/>
      <c r="C33" s="33"/>
      <c r="D33" s="33"/>
      <c r="E33" s="33"/>
      <c r="F33" s="33"/>
      <c r="G33" s="33"/>
      <c r="H33" s="33"/>
      <c r="I33" s="33"/>
      <c r="J33" s="33"/>
      <c r="K33" s="41" t="str">
        <f aca="false">IF(H33="","",IF(H33="Win",J33+(F33*VALUE(MID(G33,FIND(":",G33)+1,LEN(G33)))),IF(H33="Loss",J33-F33,IF(H33="En cours","En cours",J33))))</f>
        <v/>
      </c>
      <c r="L33" s="37"/>
      <c r="M33" s="33"/>
      <c r="N33" s="33"/>
    </row>
    <row r="34" customFormat="false" ht="21.75" hidden="false" customHeight="true" outlineLevel="0" collapsed="false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9" t="str">
        <f aca="false">IF(H34="","",IF(H34="Win",J34+(F34*VALUE(MID(G34,FIND(":",G34)+1,LEN(G34)))),IF(H34="Loss",J34-F34,IF(H34="En cours","En cours",J34))))</f>
        <v/>
      </c>
      <c r="L34" s="40"/>
      <c r="M34" s="38"/>
      <c r="N34" s="38"/>
    </row>
    <row r="35" customFormat="false" ht="21.75" hidden="false" customHeight="true" outlineLevel="0" collapsed="false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41" t="str">
        <f aca="false">IF(H35="","",IF(H35="Win",J35+(F35*VALUE(MID(G35,FIND(":",G35)+1,LEN(G35)))),IF(H35="Loss",J35-F35,IF(H35="En cours","En cours",J35))))</f>
        <v/>
      </c>
      <c r="L35" s="37"/>
      <c r="M35" s="33"/>
      <c r="N35" s="33"/>
    </row>
    <row r="36" customFormat="false" ht="21.75" hidden="false" customHeight="true" outlineLevel="0" collapsed="false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9" t="str">
        <f aca="false">IF(H36="","",IF(H36="Win",J36+(F36*VALUE(MID(G36,FIND(":",G36)+1,LEN(G36)))),IF(H36="Loss",J36-F36,IF(H36="En cours","En cours",J36))))</f>
        <v/>
      </c>
      <c r="L36" s="40"/>
      <c r="M36" s="38"/>
      <c r="N36" s="38"/>
    </row>
    <row r="37" customFormat="false" ht="21.75" hidden="false" customHeight="true" outlineLevel="0" collapsed="false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41" t="str">
        <f aca="false">IF(H37="","",IF(H37="Win",J37+(F37*VALUE(MID(G37,FIND(":",G37)+1,LEN(G37)))),IF(H37="Loss",J37-F37,IF(H37="En cours","En cours",J37))))</f>
        <v/>
      </c>
      <c r="L37" s="37"/>
      <c r="M37" s="33"/>
      <c r="N37" s="33"/>
    </row>
    <row r="38" customFormat="false" ht="21.75" hidden="false" customHeight="true" outlineLevel="0" collapsed="false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9" t="str">
        <f aca="false">IF(H38="","",IF(H38="Win",J38+(F38*VALUE(MID(G38,FIND(":",G38)+1,LEN(G38)))),IF(H38="Loss",J38-F38,IF(H38="En cours","En cours",J38))))</f>
        <v/>
      </c>
      <c r="L38" s="40"/>
      <c r="M38" s="38"/>
      <c r="N38" s="38"/>
    </row>
    <row r="39" customFormat="false" ht="21.75" hidden="false" customHeight="true" outlineLevel="0" collapsed="false">
      <c r="A39" s="33"/>
      <c r="B39" s="33"/>
      <c r="C39" s="33"/>
      <c r="D39" s="33"/>
      <c r="E39" s="33"/>
      <c r="F39" s="33"/>
      <c r="G39" s="33"/>
      <c r="H39" s="33"/>
      <c r="I39" s="33"/>
      <c r="J39" s="33"/>
      <c r="K39" s="41" t="str">
        <f aca="false">IF(H39="","",IF(H39="Win",J39+(F39*VALUE(MID(G39,FIND(":",G39)+1,LEN(G39)))),IF(H39="Loss",J39-F39,IF(H39="En cours","En cours",J39))))</f>
        <v/>
      </c>
      <c r="L39" s="37"/>
      <c r="M39" s="33"/>
      <c r="N39" s="33"/>
    </row>
    <row r="40" customFormat="false" ht="21.75" hidden="false" customHeight="true" outlineLevel="0" collapsed="false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9" t="str">
        <f aca="false">IF(H40="","",IF(H40="Win",J40+(F40*VALUE(MID(G40,FIND(":",G40)+1,LEN(G40)))),IF(H40="Loss",J40-F40,IF(H40="En cours","En cours",J40))))</f>
        <v/>
      </c>
      <c r="L40" s="40"/>
      <c r="M40" s="38"/>
      <c r="N40" s="38"/>
    </row>
    <row r="41" customFormat="false" ht="21.75" hidden="false" customHeight="true" outlineLevel="0" collapsed="false">
      <c r="A41" s="33"/>
      <c r="B41" s="33"/>
      <c r="C41" s="33"/>
      <c r="D41" s="33"/>
      <c r="E41" s="33"/>
      <c r="F41" s="33"/>
      <c r="G41" s="33"/>
      <c r="H41" s="33"/>
      <c r="I41" s="33"/>
      <c r="J41" s="33"/>
      <c r="K41" s="41" t="str">
        <f aca="false">IF(H41="","",IF(H41="Win",J41+(F41*VALUE(MID(G41,FIND(":",G41)+1,LEN(G41)))),IF(H41="Loss",J41-F41,IF(H41="En cours","En cours",J41))))</f>
        <v/>
      </c>
      <c r="L41" s="37"/>
      <c r="M41" s="33"/>
      <c r="N41" s="33"/>
    </row>
    <row r="42" customFormat="false" ht="21.75" hidden="false" customHeight="true" outlineLevel="0" collapsed="false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9" t="str">
        <f aca="false">IF(H42="","",IF(H42="Win",J42+(F42*VALUE(MID(G42,FIND(":",G42)+1,LEN(G42)))),IF(H42="Loss",J42-F42,IF(H42="En cours","En cours",J42))))</f>
        <v/>
      </c>
      <c r="L42" s="40"/>
      <c r="M42" s="38"/>
      <c r="N42" s="38"/>
    </row>
    <row r="43" customFormat="false" ht="21.75" hidden="false" customHeight="true" outlineLevel="0" collapsed="false">
      <c r="A43" s="33"/>
      <c r="B43" s="33"/>
      <c r="C43" s="33"/>
      <c r="D43" s="33"/>
      <c r="E43" s="33"/>
      <c r="F43" s="33"/>
      <c r="G43" s="33"/>
      <c r="H43" s="33"/>
      <c r="I43" s="33"/>
      <c r="J43" s="33"/>
      <c r="K43" s="41" t="str">
        <f aca="false">IF(H43="","",IF(H43="Win",J43+(F43*VALUE(MID(G43,FIND(":",G43)+1,LEN(G43)))),IF(H43="Loss",J43-F43,IF(H43="En cours","En cours",J43))))</f>
        <v/>
      </c>
      <c r="L43" s="37"/>
      <c r="M43" s="33"/>
      <c r="N43" s="33"/>
    </row>
    <row r="44" customFormat="false" ht="21.75" hidden="false" customHeight="true" outlineLevel="0" collapsed="false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9" t="str">
        <f aca="false">IF(H44="","",IF(H44="Win",J44+(F44*VALUE(MID(G44,FIND(":",G44)+1,LEN(G44)))),IF(H44="Loss",J44-F44,IF(H44="En cours","En cours",J44))))</f>
        <v/>
      </c>
      <c r="L44" s="40"/>
      <c r="M44" s="38"/>
      <c r="N44" s="38"/>
    </row>
    <row r="45" customFormat="false" ht="21.75" hidden="false" customHeight="true" outlineLevel="0" collapsed="false">
      <c r="A45" s="33"/>
      <c r="B45" s="33"/>
      <c r="C45" s="33"/>
      <c r="D45" s="33"/>
      <c r="E45" s="33"/>
      <c r="F45" s="33"/>
      <c r="G45" s="33"/>
      <c r="H45" s="33"/>
      <c r="I45" s="33"/>
      <c r="J45" s="33"/>
      <c r="K45" s="41" t="str">
        <f aca="false">IF(H45="","",IF(H45="Win",J45+(F45*VALUE(MID(G45,FIND(":",G45)+1,LEN(G45)))),IF(H45="Loss",J45-F45,IF(H45="En cours","En cours",J45))))</f>
        <v/>
      </c>
      <c r="L45" s="37"/>
      <c r="M45" s="33"/>
      <c r="N45" s="33"/>
    </row>
    <row r="46" customFormat="false" ht="21.75" hidden="false" customHeight="true" outlineLevel="0" collapsed="false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9" t="str">
        <f aca="false">IF(H46="","",IF(H46="Win",J46+(F46*VALUE(MID(G46,FIND(":",G46)+1,LEN(G46)))),IF(H46="Loss",J46-F46,IF(H46="En cours","En cours",J46))))</f>
        <v/>
      </c>
      <c r="L46" s="40"/>
      <c r="M46" s="38"/>
      <c r="N46" s="38"/>
    </row>
    <row r="47" customFormat="false" ht="21.75" hidden="false" customHeight="true" outlineLevel="0" collapsed="false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41" t="str">
        <f aca="false">IF(H47="","",IF(H47="Win",J47+(F47*VALUE(MID(G47,FIND(":",G47)+1,LEN(G47)))),IF(H47="Loss",J47-F47,IF(H47="En cours","En cours",J47))))</f>
        <v/>
      </c>
      <c r="L47" s="37"/>
      <c r="M47" s="33"/>
      <c r="N47" s="33"/>
    </row>
    <row r="48" customFormat="false" ht="21.75" hidden="false" customHeight="true" outlineLevel="0" collapsed="false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9" t="str">
        <f aca="false">IF(H48="","",IF(H48="Win",J48+(F48*VALUE(MID(G48,FIND(":",G48)+1,LEN(G48)))),IF(H48="Loss",J48-F48,IF(H48="En cours","En cours",J48))))</f>
        <v/>
      </c>
      <c r="L48" s="40"/>
      <c r="M48" s="38"/>
      <c r="N48" s="38"/>
    </row>
    <row r="49" customFormat="false" ht="21.75" hidden="false" customHeight="true" outlineLevel="0" collapsed="false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41" t="str">
        <f aca="false">IF(H49="","",IF(H49="Win",J49+(F49*VALUE(MID(G49,FIND(":",G49)+1,LEN(G49)))),IF(H49="Loss",J49-F49,IF(H49="En cours","En cours",J49))))</f>
        <v/>
      </c>
      <c r="L49" s="37"/>
      <c r="M49" s="33"/>
      <c r="N49" s="33"/>
    </row>
    <row r="50" customFormat="false" ht="21.75" hidden="false" customHeight="true" outlineLevel="0" collapsed="false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9" t="str">
        <f aca="false">IF(H50="","",IF(H50="Win",J50+(F50*VALUE(MID(G50,FIND(":",G50)+1,LEN(G50)))),IF(H50="Loss",J50-F50,IF(H50="En cours","En cours",J50))))</f>
        <v/>
      </c>
      <c r="L50" s="40"/>
      <c r="M50" s="38"/>
      <c r="N50" s="38"/>
    </row>
    <row r="51" customFormat="false" ht="21.75" hidden="false" customHeight="true" outlineLevel="0" collapsed="false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41" t="str">
        <f aca="false">IF(H51="","",IF(H51="Win",J51+(F51*VALUE(MID(G51,FIND(":",G51)+1,LEN(G51)))),IF(H51="Loss",J51-F51,IF(H51="En cours","En cours",J51))))</f>
        <v/>
      </c>
      <c r="L51" s="37"/>
      <c r="M51" s="33"/>
      <c r="N51" s="33"/>
    </row>
    <row r="52" customFormat="false" ht="21.75" hidden="false" customHeight="true" outlineLevel="0" collapsed="false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9" t="str">
        <f aca="false">IF(H52="","",IF(H52="Win",J52+(F52*VALUE(MID(G52,FIND(":",G52)+1,LEN(G52)))),IF(H52="Loss",J52-F52,IF(H52="En cours","En cours",J52))))</f>
        <v/>
      </c>
      <c r="L52" s="40"/>
      <c r="M52" s="38"/>
      <c r="N52" s="38"/>
    </row>
    <row r="53" customFormat="false" ht="21.75" hidden="false" customHeight="true" outlineLevel="0" collapsed="false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41" t="str">
        <f aca="false">IF(H53="","",IF(H53="Win",J53+(F53*VALUE(MID(G53,FIND(":",G53)+1,LEN(G53)))),IF(H53="Loss",J53-F53,IF(H53="En cours","En cours",J53))))</f>
        <v/>
      </c>
      <c r="L53" s="37"/>
      <c r="M53" s="33"/>
      <c r="N53" s="33"/>
    </row>
    <row r="54" customFormat="false" ht="21.75" hidden="false" customHeight="true" outlineLevel="0" collapsed="false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9" t="str">
        <f aca="false">IF(H54="","",IF(H54="Win",J54+(F54*VALUE(MID(G54,FIND(":",G54)+1,LEN(G54)))),IF(H54="Loss",J54-F54,IF(H54="En cours","En cours",J54))))</f>
        <v/>
      </c>
      <c r="L54" s="40"/>
      <c r="M54" s="38"/>
      <c r="N54" s="38"/>
    </row>
    <row r="55" customFormat="false" ht="21.75" hidden="false" customHeight="true" outlineLevel="0" collapsed="false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41" t="str">
        <f aca="false">IF(H55="","",IF(H55="Win",J55+(F55*VALUE(MID(G55,FIND(":",G55)+1,LEN(G55)))),IF(H55="Loss",J55-F55,IF(H55="En cours","En cours",J55))))</f>
        <v/>
      </c>
      <c r="L55" s="37"/>
      <c r="M55" s="33"/>
      <c r="N55" s="33"/>
    </row>
    <row r="56" customFormat="false" ht="21.75" hidden="false" customHeight="true" outlineLevel="0" collapsed="false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9" t="str">
        <f aca="false">IF(H56="","",IF(H56="Win",J56+(F56*VALUE(MID(G56,FIND(":",G56)+1,LEN(G56)))),IF(H56="Loss",J56-F56,IF(H56="En cours","En cours",J56))))</f>
        <v/>
      </c>
      <c r="L56" s="40"/>
      <c r="M56" s="38"/>
      <c r="N56" s="38"/>
    </row>
    <row r="57" customFormat="false" ht="21.75" hidden="false" customHeight="true" outlineLevel="0" collapsed="false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41" t="str">
        <f aca="false">IF(H57="","",IF(H57="Win",J57+(F57*VALUE(MID(G57,FIND(":",G57)+1,LEN(G57)))),IF(H57="Loss",J57-F57,IF(H57="En cours","En cours",J57))))</f>
        <v/>
      </c>
      <c r="L57" s="37"/>
      <c r="M57" s="33"/>
      <c r="N57" s="33"/>
    </row>
    <row r="58" customFormat="false" ht="21.75" hidden="false" customHeight="true" outlineLevel="0" collapsed="false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9" t="str">
        <f aca="false">IF(H58="","",IF(H58="Win",J58+(F58*VALUE(MID(G58,FIND(":",G58)+1,LEN(G58)))),IF(H58="Loss",J58-F58,IF(H58="En cours","En cours",J58))))</f>
        <v/>
      </c>
      <c r="L58" s="40"/>
      <c r="M58" s="38"/>
      <c r="N58" s="38"/>
    </row>
    <row r="59" customFormat="false" ht="21.75" hidden="false" customHeight="true" outlineLevel="0" collapsed="false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41" t="str">
        <f aca="false">IF(H59="","",IF(H59="Win",J59+(F59*VALUE(MID(G59,FIND(":",G59)+1,LEN(G59)))),IF(H59="Loss",J59-F59,IF(H59="En cours","En cours",J59))))</f>
        <v/>
      </c>
      <c r="L59" s="37"/>
      <c r="M59" s="33"/>
      <c r="N59" s="33"/>
    </row>
    <row r="60" customFormat="false" ht="21.75" hidden="false" customHeight="true" outlineLevel="0" collapsed="false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9" t="str">
        <f aca="false">IF(H60="","",IF(H60="Win",J60+(F60*VALUE(MID(G60,FIND(":",G60)+1,LEN(G60)))),IF(H60="Loss",J60-F60,IF(H60="En cours","En cours",J60))))</f>
        <v/>
      </c>
      <c r="L60" s="40"/>
      <c r="M60" s="38"/>
      <c r="N60" s="38"/>
    </row>
    <row r="61" customFormat="false" ht="21.75" hidden="false" customHeight="true" outlineLevel="0" collapsed="false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41" t="str">
        <f aca="false">IF(H61="","",IF(H61="Win",J61+(F61*VALUE(MID(G61,FIND(":",G61)+1,LEN(G61)))),IF(H61="Loss",J61-F61,IF(H61="En cours","En cours",J61))))</f>
        <v/>
      </c>
      <c r="L61" s="37"/>
      <c r="M61" s="33"/>
      <c r="N61" s="33"/>
    </row>
    <row r="62" customFormat="false" ht="21.75" hidden="false" customHeight="true" outlineLevel="0" collapsed="false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9" t="str">
        <f aca="false">IF(H62="","",IF(H62="Win",J62+(F62*VALUE(MID(G62,FIND(":",G62)+1,LEN(G62)))),IF(H62="Loss",J62-F62,IF(H62="En cours","En cours",J62))))</f>
        <v/>
      </c>
      <c r="L62" s="40"/>
      <c r="M62" s="38"/>
      <c r="N62" s="38"/>
    </row>
    <row r="63" customFormat="false" ht="21.75" hidden="false" customHeight="true" outlineLevel="0" collapsed="false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41" t="str">
        <f aca="false">IF(H63="","",IF(H63="Win",J63+(F63*VALUE(MID(G63,FIND(":",G63)+1,LEN(G63)))),IF(H63="Loss",J63-F63,IF(H63="En cours","En cours",J63))))</f>
        <v/>
      </c>
      <c r="L63" s="37"/>
      <c r="M63" s="33"/>
      <c r="N63" s="33"/>
    </row>
    <row r="64" customFormat="false" ht="21.75" hidden="false" customHeight="true" outlineLevel="0" collapsed="false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9" t="str">
        <f aca="false">IF(H64="","",IF(H64="Win",J64+(F64*VALUE(MID(G64,FIND(":",G64)+1,LEN(G64)))),IF(H64="Loss",J64-F64,IF(H64="En cours","En cours",J64))))</f>
        <v/>
      </c>
      <c r="L64" s="40"/>
      <c r="M64" s="38"/>
      <c r="N64" s="38"/>
    </row>
    <row r="65" customFormat="false" ht="21.75" hidden="false" customHeight="true" outlineLevel="0" collapsed="false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41" t="str">
        <f aca="false">IF(H65="","",IF(H65="Win",J65+(F65*VALUE(MID(G65,FIND(":",G65)+1,LEN(G65)))),IF(H65="Loss",J65-F65,IF(H65="En cours","En cours",J65))))</f>
        <v/>
      </c>
      <c r="L65" s="37"/>
      <c r="M65" s="33"/>
      <c r="N65" s="33"/>
    </row>
    <row r="66" customFormat="false" ht="21.75" hidden="false" customHeight="true" outlineLevel="0" collapsed="false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9" t="str">
        <f aca="false">IF(H66="","",IF(H66="Win",J66+(F66*VALUE(MID(G66,FIND(":",G66)+1,LEN(G66)))),IF(H66="Loss",J66-F66,IF(H66="En cours","En cours",J66))))</f>
        <v/>
      </c>
      <c r="L66" s="40"/>
      <c r="M66" s="38"/>
      <c r="N66" s="38"/>
    </row>
    <row r="67" customFormat="false" ht="21.75" hidden="false" customHeight="true" outlineLevel="0" collapsed="false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41" t="str">
        <f aca="false">IF(H67="","",IF(H67="Win",J67+(F67*VALUE(MID(G67,FIND(":",G67)+1,LEN(G67)))),IF(H67="Loss",J67-F67,IF(H67="En cours","En cours",J67))))</f>
        <v/>
      </c>
      <c r="L67" s="37"/>
      <c r="M67" s="33"/>
      <c r="N67" s="33"/>
    </row>
    <row r="68" customFormat="false" ht="21.75" hidden="false" customHeight="true" outlineLevel="0" collapsed="false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9" t="str">
        <f aca="false">IF(H68="","",IF(H68="Win",J68+(F68*VALUE(MID(G68,FIND(":",G68)+1,LEN(G68)))),IF(H68="Loss",J68-F68,IF(H68="En cours","En cours",J68))))</f>
        <v/>
      </c>
      <c r="L68" s="40"/>
      <c r="M68" s="38"/>
      <c r="N68" s="38"/>
    </row>
    <row r="69" customFormat="false" ht="21.75" hidden="false" customHeight="true" outlineLevel="0" collapsed="false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41" t="str">
        <f aca="false">IF(H69="","",IF(H69="Win",J69+(F69*VALUE(MID(G69,FIND(":",G69)+1,LEN(G69)))),IF(H69="Loss",J69-F69,IF(H69="En cours","En cours",J69))))</f>
        <v/>
      </c>
      <c r="L69" s="37"/>
      <c r="M69" s="33"/>
      <c r="N69" s="33"/>
    </row>
    <row r="70" customFormat="false" ht="21.75" hidden="false" customHeight="true" outlineLevel="0" collapsed="false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9" t="str">
        <f aca="false">IF(H70="","",IF(H70="Win",J70+(F70*VALUE(MID(G70,FIND(":",G70)+1,LEN(G70)))),IF(H70="Loss",J70-F70,IF(H70="En cours","En cours",J70))))</f>
        <v/>
      </c>
      <c r="L70" s="40"/>
      <c r="M70" s="38"/>
      <c r="N70" s="38"/>
    </row>
    <row r="71" customFormat="false" ht="21.75" hidden="false" customHeight="true" outlineLevel="0" collapsed="false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41" t="str">
        <f aca="false">IF(H71="","",IF(H71="Win",J71+(F71*VALUE(MID(G71,FIND(":",G71)+1,LEN(G71)))),IF(H71="Loss",J71-F71,IF(H71="En cours","En cours",J71))))</f>
        <v/>
      </c>
      <c r="L71" s="37"/>
      <c r="M71" s="33"/>
      <c r="N71" s="33"/>
    </row>
    <row r="72" customFormat="false" ht="21.75" hidden="false" customHeight="true" outlineLevel="0" collapsed="false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9" t="str">
        <f aca="false">IF(H72="","",IF(H72="Win",J72+(F72*VALUE(MID(G72,FIND(":",G72)+1,LEN(G72)))),IF(H72="Loss",J72-F72,IF(H72="En cours","En cours",J72))))</f>
        <v/>
      </c>
      <c r="L72" s="40"/>
      <c r="M72" s="38"/>
      <c r="N72" s="38"/>
    </row>
    <row r="73" customFormat="false" ht="21.75" hidden="false" customHeight="true" outlineLevel="0" collapsed="false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41" t="str">
        <f aca="false">IF(H73="","",IF(H73="Win",J73+(F73*VALUE(MID(G73,FIND(":",G73)+1,LEN(G73)))),IF(H73="Loss",J73-F73,IF(H73="En cours","En cours",J73))))</f>
        <v/>
      </c>
      <c r="L73" s="37"/>
      <c r="M73" s="33"/>
      <c r="N73" s="33"/>
    </row>
    <row r="74" customFormat="false" ht="21.75" hidden="false" customHeight="true" outlineLevel="0" collapsed="false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9" t="str">
        <f aca="false">IF(H74="","",IF(H74="Win",J74+(F74*VALUE(MID(G74,FIND(":",G74)+1,LEN(G74)))),IF(H74="Loss",J74-F74,IF(H74="En cours","En cours",J74))))</f>
        <v/>
      </c>
      <c r="L74" s="40"/>
      <c r="M74" s="38"/>
      <c r="N74" s="38"/>
    </row>
    <row r="75" customFormat="false" ht="21.75" hidden="false" customHeight="true" outlineLevel="0" collapsed="false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41" t="str">
        <f aca="false">IF(H75="","",IF(H75="Win",J75+(F75*VALUE(MID(G75,FIND(":",G75)+1,LEN(G75)))),IF(H75="Loss",J75-F75,IF(H75="En cours","En cours",J75))))</f>
        <v/>
      </c>
      <c r="L75" s="37"/>
      <c r="M75" s="33"/>
      <c r="N75" s="33"/>
    </row>
    <row r="76" customFormat="false" ht="21.75" hidden="false" customHeight="true" outlineLevel="0" collapsed="false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9" t="str">
        <f aca="false">IF(H76="","",IF(H76="Win",J76+(F76*VALUE(MID(G76,FIND(":",G76)+1,LEN(G76)))),IF(H76="Loss",J76-F76,IF(H76="En cours","En cours",J76))))</f>
        <v/>
      </c>
      <c r="L76" s="40"/>
      <c r="M76" s="38"/>
      <c r="N76" s="38"/>
    </row>
    <row r="77" customFormat="false" ht="21.75" hidden="false" customHeight="true" outlineLevel="0" collapsed="false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41" t="str">
        <f aca="false">IF(H77="","",IF(H77="Win",J77+(F77*VALUE(MID(G77,FIND(":",G77)+1,LEN(G77)))),IF(H77="Loss",J77-F77,IF(H77="En cours","En cours",J77))))</f>
        <v/>
      </c>
      <c r="L77" s="37"/>
      <c r="M77" s="33"/>
      <c r="N77" s="33"/>
    </row>
    <row r="78" customFormat="false" ht="21.75" hidden="false" customHeight="true" outlineLevel="0" collapsed="false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9" t="str">
        <f aca="false">IF(H78="","",IF(H78="Win",J78+(F78*VALUE(MID(G78,FIND(":",G78)+1,LEN(G78)))),IF(H78="Loss",J78-F78,IF(H78="En cours","En cours",J78))))</f>
        <v/>
      </c>
      <c r="L78" s="40"/>
      <c r="M78" s="38"/>
      <c r="N78" s="38"/>
    </row>
    <row r="79" customFormat="false" ht="21.75" hidden="false" customHeight="true" outlineLevel="0" collapsed="false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41" t="str">
        <f aca="false">IF(H79="","",IF(H79="Win",J79+(F79*VALUE(MID(G79,FIND(":",G79)+1,LEN(G79)))),IF(H79="Loss",J79-F79,IF(H79="En cours","En cours",J79))))</f>
        <v/>
      </c>
      <c r="L79" s="37"/>
      <c r="M79" s="33"/>
      <c r="N79" s="33"/>
    </row>
    <row r="80" customFormat="false" ht="21.75" hidden="false" customHeight="true" outlineLevel="0" collapsed="false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9" t="str">
        <f aca="false">IF(H80="","",IF(H80="Win",J80+(F80*VALUE(MID(G80,FIND(":",G80)+1,LEN(G80)))),IF(H80="Loss",J80-F80,IF(H80="En cours","En cours",J80))))</f>
        <v/>
      </c>
      <c r="L80" s="40"/>
      <c r="M80" s="38"/>
      <c r="N80" s="38"/>
    </row>
    <row r="81" customFormat="false" ht="21.75" hidden="false" customHeight="true" outlineLevel="0" collapsed="false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41" t="str">
        <f aca="false">IF(H81="","",IF(H81="Win",J81+(F81*VALUE(MID(G81,FIND(":",G81)+1,LEN(G81)))),IF(H81="Loss",J81-F81,IF(H81="En cours","En cours",J81))))</f>
        <v/>
      </c>
      <c r="L81" s="37"/>
      <c r="M81" s="33"/>
      <c r="N81" s="33"/>
    </row>
    <row r="82" customFormat="false" ht="21.75" hidden="false" customHeight="true" outlineLevel="0" collapsed="false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9" t="str">
        <f aca="false">IF(H82="","",IF(H82="Win",J82+(F82*VALUE(MID(G82,FIND(":",G82)+1,LEN(G82)))),IF(H82="Loss",J82-F82,IF(H82="En cours","En cours",J82))))</f>
        <v/>
      </c>
      <c r="L82" s="40"/>
      <c r="M82" s="38"/>
      <c r="N82" s="38"/>
    </row>
    <row r="83" customFormat="false" ht="21.75" hidden="false" customHeight="true" outlineLevel="0" collapsed="false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41" t="str">
        <f aca="false">IF(H83="","",IF(H83="Win",J83+(F83*VALUE(MID(G83,FIND(":",G83)+1,LEN(G83)))),IF(H83="Loss",J83-F83,IF(H83="En cours","En cours",J83))))</f>
        <v/>
      </c>
      <c r="L83" s="37"/>
      <c r="M83" s="33"/>
      <c r="N83" s="33"/>
    </row>
    <row r="84" customFormat="false" ht="21.75" hidden="false" customHeight="true" outlineLevel="0" collapsed="false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9" t="str">
        <f aca="false">IF(H84="","",IF(H84="Win",J84+(F84*VALUE(MID(G84,FIND(":",G84)+1,LEN(G84)))),IF(H84="Loss",J84-F84,IF(H84="En cours","En cours",J84))))</f>
        <v/>
      </c>
      <c r="L84" s="40"/>
      <c r="M84" s="38"/>
      <c r="N84" s="38"/>
    </row>
    <row r="85" customFormat="false" ht="21.75" hidden="false" customHeight="true" outlineLevel="0" collapsed="false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41" t="str">
        <f aca="false">IF(H85="","",IF(H85="Win",J85+(F85*VALUE(MID(G85,FIND(":",G85)+1,LEN(G85)))),IF(H85="Loss",J85-F85,IF(H85="En cours","En cours",J85))))</f>
        <v/>
      </c>
      <c r="L85" s="37"/>
      <c r="M85" s="33"/>
      <c r="N85" s="33"/>
    </row>
    <row r="86" customFormat="false" ht="21.75" hidden="false" customHeight="true" outlineLevel="0" collapsed="false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9" t="str">
        <f aca="false">IF(H86="","",IF(H86="Win",J86+(F86*VALUE(MID(G86,FIND(":",G86)+1,LEN(G86)))),IF(H86="Loss",J86-F86,IF(H86="En cours","En cours",J86))))</f>
        <v/>
      </c>
      <c r="L86" s="40"/>
      <c r="M86" s="38"/>
      <c r="N86" s="38"/>
    </row>
    <row r="87" customFormat="false" ht="21.75" hidden="false" customHeight="true" outlineLevel="0" collapsed="false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41" t="str">
        <f aca="false">IF(H87="","",IF(H87="Win",J87+(F87*VALUE(MID(G87,FIND(":",G87)+1,LEN(G87)))),IF(H87="Loss",J87-F87,IF(H87="En cours","En cours",J87))))</f>
        <v/>
      </c>
      <c r="L87" s="37"/>
      <c r="M87" s="33"/>
      <c r="N87" s="33"/>
    </row>
    <row r="88" customFormat="false" ht="21.75" hidden="false" customHeight="true" outlineLevel="0" collapsed="false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9" t="str">
        <f aca="false">IF(H88="","",IF(H88="Win",J88+(F88*VALUE(MID(G88,FIND(":",G88)+1,LEN(G88)))),IF(H88="Loss",J88-F88,IF(H88="En cours","En cours",J88))))</f>
        <v/>
      </c>
      <c r="L88" s="40"/>
      <c r="M88" s="38"/>
      <c r="N88" s="38"/>
    </row>
    <row r="89" customFormat="false" ht="21.75" hidden="false" customHeight="true" outlineLevel="0" collapsed="false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41" t="str">
        <f aca="false">IF(H89="","",IF(H89="Win",J89+(F89*VALUE(MID(G89,FIND(":",G89)+1,LEN(G89)))),IF(H89="Loss",J89-F89,IF(H89="En cours","En cours",J89))))</f>
        <v/>
      </c>
      <c r="L89" s="37"/>
      <c r="M89" s="33"/>
      <c r="N89" s="33"/>
    </row>
    <row r="90" customFormat="false" ht="21.75" hidden="false" customHeight="true" outlineLevel="0" collapsed="false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9" t="str">
        <f aca="false">IF(H90="","",IF(H90="Win",J90+(F90*VALUE(MID(G90,FIND(":",G90)+1,LEN(G90)))),IF(H90="Loss",J90-F90,IF(H90="En cours","En cours",J90))))</f>
        <v/>
      </c>
      <c r="L90" s="40"/>
      <c r="M90" s="38"/>
      <c r="N90" s="38"/>
    </row>
    <row r="91" customFormat="false" ht="21.75" hidden="false" customHeight="true" outlineLevel="0" collapsed="false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41" t="str">
        <f aca="false">IF(H91="","",IF(H91="Win",J91+(F91*VALUE(MID(G91,FIND(":",G91)+1,LEN(G91)))),IF(H91="Loss",J91-F91,IF(H91="En cours","En cours",J91))))</f>
        <v/>
      </c>
      <c r="L91" s="37"/>
      <c r="M91" s="33"/>
      <c r="N91" s="33"/>
    </row>
    <row r="92" customFormat="false" ht="21.75" hidden="false" customHeight="true" outlineLevel="0" collapsed="false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9" t="str">
        <f aca="false">IF(H92="","",IF(H92="Win",J92+(F92*VALUE(MID(G92,FIND(":",G92)+1,LEN(G92)))),IF(H92="Loss",J92-F92,IF(H92="En cours","En cours",J92))))</f>
        <v/>
      </c>
      <c r="L92" s="40"/>
      <c r="M92" s="38"/>
      <c r="N92" s="38"/>
    </row>
    <row r="93" customFormat="false" ht="21.75" hidden="false" customHeight="true" outlineLevel="0" collapsed="false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41" t="str">
        <f aca="false">IF(H93="","",IF(H93="Win",J93+(F93*VALUE(MID(G93,FIND(":",G93)+1,LEN(G93)))),IF(H93="Loss",J93-F93,IF(H93="En cours","En cours",J93))))</f>
        <v/>
      </c>
      <c r="L93" s="37"/>
      <c r="M93" s="33"/>
      <c r="N93" s="33"/>
    </row>
    <row r="94" customFormat="false" ht="21.75" hidden="false" customHeight="true" outlineLevel="0" collapsed="false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9" t="str">
        <f aca="false">IF(H94="","",IF(H94="Win",J94+(F94*VALUE(MID(G94,FIND(":",G94)+1,LEN(G94)))),IF(H94="Loss",J94-F94,IF(H94="En cours","En cours",J94))))</f>
        <v/>
      </c>
      <c r="L94" s="40"/>
      <c r="M94" s="38"/>
      <c r="N94" s="38"/>
    </row>
    <row r="95" customFormat="false" ht="21.75" hidden="false" customHeight="true" outlineLevel="0" collapsed="false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41" t="str">
        <f aca="false">IF(H95="","",IF(H95="Win",J95+(F95*VALUE(MID(G95,FIND(":",G95)+1,LEN(G95)))),IF(H95="Loss",J95-F95,IF(H95="En cours","En cours",J95))))</f>
        <v/>
      </c>
      <c r="L95" s="37"/>
      <c r="M95" s="33"/>
      <c r="N95" s="33"/>
    </row>
    <row r="96" customFormat="false" ht="21.75" hidden="false" customHeight="true" outlineLevel="0" collapsed="false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9" t="str">
        <f aca="false">IF(H96="","",IF(H96="Win",J96+(F96*VALUE(MID(G96,FIND(":",G96)+1,LEN(G96)))),IF(H96="Loss",J96-F96,IF(H96="En cours","En cours",J96))))</f>
        <v/>
      </c>
      <c r="L96" s="40"/>
      <c r="M96" s="38"/>
      <c r="N96" s="38"/>
    </row>
    <row r="97" customFormat="false" ht="21.75" hidden="false" customHeight="true" outlineLevel="0" collapsed="false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41" t="str">
        <f aca="false">IF(H97="","",IF(H97="Win",J97+(F97*VALUE(MID(G97,FIND(":",G97)+1,LEN(G97)))),IF(H97="Loss",J97-F97,IF(H97="En cours","En cours",J97))))</f>
        <v/>
      </c>
      <c r="L97" s="37"/>
      <c r="M97" s="33"/>
      <c r="N97" s="33"/>
    </row>
    <row r="98" customFormat="false" ht="21.75" hidden="false" customHeight="true" outlineLevel="0" collapsed="false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9" t="str">
        <f aca="false">IF(H98="","",IF(H98="Win",J98+(F98*VALUE(MID(G98,FIND(":",G98)+1,LEN(G98)))),IF(H98="Loss",J98-F98,IF(H98="En cours","En cours",J98))))</f>
        <v/>
      </c>
      <c r="L98" s="40"/>
      <c r="M98" s="38"/>
      <c r="N98" s="38"/>
    </row>
    <row r="99" customFormat="false" ht="21.75" hidden="false" customHeight="true" outlineLevel="0" collapsed="false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41" t="str">
        <f aca="false">IF(H99="","",IF(H99="Win",J99+(F99*VALUE(MID(G99,FIND(":",G99)+1,LEN(G99)))),IF(H99="Loss",J99-F99,IF(H99="En cours","En cours",J99))))</f>
        <v/>
      </c>
      <c r="L99" s="37"/>
      <c r="M99" s="33"/>
      <c r="N99" s="33"/>
    </row>
    <row r="100" customFormat="false" ht="21.75" hidden="false" customHeight="true" outlineLevel="0" collapsed="false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9" t="str">
        <f aca="false">IF(H100="","",IF(H100="Win",J100+(F100*VALUE(MID(G100,FIND(":",G100)+1,LEN(G100)))),IF(H100="Loss",J100-F100,IF(H100="En cours","En cours",J100))))</f>
        <v/>
      </c>
      <c r="L100" s="40"/>
      <c r="M100" s="38"/>
      <c r="N100" s="38"/>
    </row>
    <row r="101" customFormat="false" ht="21.75" hidden="false" customHeight="true" outlineLevel="0" collapsed="false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41" t="str">
        <f aca="false">IF(H101="","",IF(H101="Win",J101+(F101*VALUE(MID(G101,FIND(":",G101)+1,LEN(G101)))),IF(H101="Loss",J101-F101,IF(H101="En cours","En cours",J101))))</f>
        <v/>
      </c>
      <c r="L101" s="37"/>
      <c r="M101" s="33"/>
      <c r="N101" s="33"/>
    </row>
    <row r="102" customFormat="false" ht="21.75" hidden="false" customHeight="true" outlineLevel="0" collapsed="false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9" t="str">
        <f aca="false">IF(H102="","",IF(H102="Win",J102+(F102*VALUE(MID(G102,FIND(":",G102)+1,LEN(G102)))),IF(H102="Loss",J102-F102,IF(H102="En cours","En cours",J102))))</f>
        <v/>
      </c>
      <c r="L102" s="40"/>
      <c r="M102" s="38"/>
      <c r="N102" s="38"/>
    </row>
    <row r="103" customFormat="false" ht="21.75" hidden="false" customHeight="true" outlineLevel="0" collapsed="false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41" t="str">
        <f aca="false">IF(H103="","",IF(H103="Win",J103+(F103*VALUE(MID(G103,FIND(":",G103)+1,LEN(G103)))),IF(H103="Loss",J103-F103,IF(H103="En cours","En cours",J103))))</f>
        <v/>
      </c>
      <c r="L103" s="37"/>
      <c r="M103" s="33"/>
      <c r="N103" s="33"/>
    </row>
    <row r="104" customFormat="false" ht="21.75" hidden="false" customHeight="true" outlineLevel="0" collapsed="false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9" t="str">
        <f aca="false">IF(H104="","",IF(H104="Win",J104+(F104*VALUE(MID(G104,FIND(":",G104)+1,LEN(G104)))),IF(H104="Loss",J104-F104,IF(H104="En cours","En cours",J104))))</f>
        <v/>
      </c>
      <c r="L104" s="40"/>
      <c r="M104" s="38"/>
      <c r="N104" s="38"/>
    </row>
    <row r="105" customFormat="false" ht="21.75" hidden="false" customHeight="true" outlineLevel="0" collapsed="false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41" t="str">
        <f aca="false">IF(H105="","",IF(H105="Win",J105+(F105*VALUE(MID(G105,FIND(":",G105)+1,LEN(G105)))),IF(H105="Loss",J105-F105,IF(H105="En cours","En cours",J105))))</f>
        <v/>
      </c>
      <c r="L105" s="37"/>
      <c r="M105" s="33"/>
      <c r="N105" s="33"/>
    </row>
    <row r="106" customFormat="false" ht="21.75" hidden="false" customHeight="true" outlineLevel="0" collapsed="false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9" t="str">
        <f aca="false">IF(H106="","",IF(H106="Win",J106+(F106*VALUE(MID(G106,FIND(":",G106)+1,LEN(G106)))),IF(H106="Loss",J106-F106,IF(H106="En cours","En cours",J106))))</f>
        <v/>
      </c>
      <c r="L106" s="40"/>
      <c r="M106" s="38"/>
      <c r="N106" s="38"/>
    </row>
    <row r="107" customFormat="false" ht="21.75" hidden="false" customHeight="true" outlineLevel="0" collapsed="false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41" t="str">
        <f aca="false">IF(H107="","",IF(H107="Win",J107+(F107*VALUE(MID(G107,FIND(":",G107)+1,LEN(G107)))),IF(H107="Loss",J107-F107,IF(H107="En cours","En cours",J107))))</f>
        <v/>
      </c>
      <c r="L107" s="37"/>
      <c r="M107" s="33"/>
      <c r="N107" s="33"/>
    </row>
    <row r="108" customFormat="false" ht="21.75" hidden="false" customHeight="true" outlineLevel="0" collapsed="false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9" t="str">
        <f aca="false">IF(H108="","",IF(H108="Win",J108+(F108*VALUE(MID(G108,FIND(":",G108)+1,LEN(G108)))),IF(H108="Loss",J108-F108,IF(H108="En cours","En cours",J108))))</f>
        <v/>
      </c>
      <c r="L108" s="40"/>
      <c r="M108" s="38"/>
      <c r="N108" s="38"/>
    </row>
    <row r="109" customFormat="false" ht="21.75" hidden="false" customHeight="true" outlineLevel="0" collapsed="false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41" t="str">
        <f aca="false">IF(H109="","",IF(H109="Win",J109+(F109*VALUE(MID(G109,FIND(":",G109)+1,LEN(G109)))),IF(H109="Loss",J109-F109,IF(H109="En cours","En cours",J109))))</f>
        <v/>
      </c>
      <c r="L109" s="37"/>
      <c r="M109" s="33"/>
      <c r="N109" s="33"/>
    </row>
    <row r="110" customFormat="false" ht="21.75" hidden="false" customHeight="true" outlineLevel="0" collapsed="false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9" t="str">
        <f aca="false">IF(H110="","",IF(H110="Win",J110+(F110*VALUE(MID(G110,FIND(":",G110)+1,LEN(G110)))),IF(H110="Loss",J110-F110,IF(H110="En cours","En cours",J110))))</f>
        <v/>
      </c>
      <c r="L110" s="40"/>
      <c r="M110" s="38"/>
      <c r="N110" s="38"/>
    </row>
    <row r="111" customFormat="false" ht="21.75" hidden="false" customHeight="true" outlineLevel="0" collapsed="false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41" t="str">
        <f aca="false">IF(H111="","",IF(H111="Win",J111+(F111*VALUE(MID(G111,FIND(":",G111)+1,LEN(G111)))),IF(H111="Loss",J111-F111,IF(H111="En cours","En cours",J111))))</f>
        <v/>
      </c>
      <c r="L111" s="37"/>
      <c r="M111" s="33"/>
      <c r="N111" s="33"/>
    </row>
    <row r="112" customFormat="false" ht="21.75" hidden="false" customHeight="true" outlineLevel="0" collapsed="false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9" t="str">
        <f aca="false">IF(H112="","",IF(H112="Win",J112+(F112*VALUE(MID(G112,FIND(":",G112)+1,LEN(G112)))),IF(H112="Loss",J112-F112,IF(H112="En cours","En cours",J112))))</f>
        <v/>
      </c>
      <c r="L112" s="40"/>
      <c r="M112" s="38"/>
      <c r="N112" s="38"/>
    </row>
    <row r="113" customFormat="false" ht="21.75" hidden="false" customHeight="true" outlineLevel="0" collapsed="false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41" t="str">
        <f aca="false">IF(H113="","",IF(H113="Win",J113+(F113*VALUE(MID(G113,FIND(":",G113)+1,LEN(G113)))),IF(H113="Loss",J113-F113,IF(H113="En cours","En cours",J113))))</f>
        <v/>
      </c>
      <c r="L113" s="37"/>
      <c r="M113" s="33"/>
      <c r="N113" s="33"/>
    </row>
    <row r="114" customFormat="false" ht="21.75" hidden="false" customHeight="true" outlineLevel="0" collapsed="false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9" t="str">
        <f aca="false">IF(H114="","",IF(H114="Win",J114+(F114*VALUE(MID(G114,FIND(":",G114)+1,LEN(G114)))),IF(H114="Loss",J114-F114,IF(H114="En cours","En cours",J114))))</f>
        <v/>
      </c>
      <c r="L114" s="40"/>
      <c r="M114" s="38"/>
      <c r="N114" s="38"/>
    </row>
    <row r="115" customFormat="false" ht="21.75" hidden="false" customHeight="true" outlineLevel="0" collapsed="false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41" t="str">
        <f aca="false">IF(H115="","",IF(H115="Win",J115+(F115*VALUE(MID(G115,FIND(":",G115)+1,LEN(G115)))),IF(H115="Loss",J115-F115,IF(H115="En cours","En cours",J115))))</f>
        <v/>
      </c>
      <c r="L115" s="37"/>
      <c r="M115" s="33"/>
      <c r="N115" s="33"/>
    </row>
    <row r="116" customFormat="false" ht="21.75" hidden="false" customHeight="true" outlineLevel="0" collapsed="false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9" t="str">
        <f aca="false">IF(H116="","",IF(H116="Win",J116+(F116*VALUE(MID(G116,FIND(":",G116)+1,LEN(G116)))),IF(H116="Loss",J116-F116,IF(H116="En cours","En cours",J116))))</f>
        <v/>
      </c>
      <c r="L116" s="40"/>
      <c r="M116" s="38"/>
      <c r="N116" s="38"/>
    </row>
    <row r="117" customFormat="false" ht="21.75" hidden="false" customHeight="true" outlineLevel="0" collapsed="false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41" t="str">
        <f aca="false">IF(H117="","",IF(H117="Win",J117+(F117*VALUE(MID(G117,FIND(":",G117)+1,LEN(G117)))),IF(H117="Loss",J117-F117,IF(H117="En cours","En cours",J117))))</f>
        <v/>
      </c>
      <c r="L117" s="37"/>
      <c r="M117" s="33"/>
      <c r="N117" s="33"/>
    </row>
    <row r="118" customFormat="false" ht="21.75" hidden="false" customHeight="true" outlineLevel="0" collapsed="false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9" t="str">
        <f aca="false">IF(H118="","",IF(H118="Win",J118+(F118*VALUE(MID(G118,FIND(":",G118)+1,LEN(G118)))),IF(H118="Loss",J118-F118,IF(H118="En cours","En cours",J118))))</f>
        <v/>
      </c>
      <c r="L118" s="40"/>
      <c r="M118" s="38"/>
      <c r="N118" s="38"/>
    </row>
    <row r="119" customFormat="false" ht="21.75" hidden="false" customHeight="true" outlineLevel="0" collapsed="false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41" t="str">
        <f aca="false">IF(H119="","",IF(H119="Win",J119+(F119*VALUE(MID(G119,FIND(":",G119)+1,LEN(G119)))),IF(H119="Loss",J119-F119,IF(H119="En cours","En cours",J119))))</f>
        <v/>
      </c>
      <c r="L119" s="37"/>
      <c r="M119" s="33"/>
      <c r="N119" s="33"/>
    </row>
    <row r="120" customFormat="false" ht="21.75" hidden="false" customHeight="true" outlineLevel="0" collapsed="false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9" t="str">
        <f aca="false">IF(H120="","",IF(H120="Win",J120+(F120*VALUE(MID(G120,FIND(":",G120)+1,LEN(G120)))),IF(H120="Loss",J120-F120,IF(H120="En cours","En cours",J120))))</f>
        <v/>
      </c>
      <c r="L120" s="40"/>
      <c r="M120" s="38"/>
      <c r="N120" s="38"/>
    </row>
    <row r="121" customFormat="false" ht="21.75" hidden="false" customHeight="true" outlineLevel="0" collapsed="false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41" t="str">
        <f aca="false">IF(H121="","",IF(H121="Win",J121+(F121*VALUE(MID(G121,FIND(":",G121)+1,LEN(G121)))),IF(H121="Loss",J121-F121,IF(H121="En cours","En cours",J121))))</f>
        <v/>
      </c>
      <c r="L121" s="37"/>
      <c r="M121" s="33"/>
      <c r="N121" s="33"/>
    </row>
    <row r="122" customFormat="false" ht="21.75" hidden="false" customHeight="true" outlineLevel="0" collapsed="false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9" t="str">
        <f aca="false">IF(H122="","",IF(H122="Win",J122+(F122*VALUE(MID(G122,FIND(":",G122)+1,LEN(G122)))),IF(H122="Loss",J122-F122,IF(H122="En cours","En cours",J122))))</f>
        <v/>
      </c>
      <c r="L122" s="40"/>
      <c r="M122" s="38"/>
      <c r="N122" s="38"/>
    </row>
    <row r="123" customFormat="false" ht="21.75" hidden="false" customHeight="true" outlineLevel="0" collapsed="false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41" t="str">
        <f aca="false">IF(H123="","",IF(H123="Win",J123+(F123*VALUE(MID(G123,FIND(":",G123)+1,LEN(G123)))),IF(H123="Loss",J123-F123,IF(H123="En cours","En cours",J123))))</f>
        <v/>
      </c>
      <c r="L123" s="37"/>
      <c r="M123" s="33"/>
      <c r="N123" s="33"/>
    </row>
    <row r="124" customFormat="false" ht="21.75" hidden="false" customHeight="true" outlineLevel="0" collapsed="false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9" t="str">
        <f aca="false">IF(H124="","",IF(H124="Win",J124+(F124*VALUE(MID(G124,FIND(":",G124)+1,LEN(G124)))),IF(H124="Loss",J124-F124,IF(H124="En cours","En cours",J124))))</f>
        <v/>
      </c>
      <c r="L124" s="40"/>
      <c r="M124" s="38"/>
      <c r="N124" s="38"/>
    </row>
    <row r="125" customFormat="false" ht="21.75" hidden="false" customHeight="true" outlineLevel="0" collapsed="false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41" t="str">
        <f aca="false">IF(H125="","",IF(H125="Win",J125+(F125*VALUE(MID(G125,FIND(":",G125)+1,LEN(G125)))),IF(H125="Loss",J125-F125,IF(H125="En cours","En cours",J125))))</f>
        <v/>
      </c>
      <c r="L125" s="37"/>
      <c r="M125" s="33"/>
      <c r="N125" s="33"/>
    </row>
    <row r="126" customFormat="false" ht="21.75" hidden="false" customHeight="true" outlineLevel="0" collapsed="false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9" t="str">
        <f aca="false">IF(H126="","",IF(H126="Win",J126+(F126*VALUE(MID(G126,FIND(":",G126)+1,LEN(G126)))),IF(H126="Loss",J126-F126,IF(H126="En cours","En cours",J126))))</f>
        <v/>
      </c>
      <c r="L126" s="40"/>
      <c r="M126" s="38"/>
      <c r="N126" s="38"/>
    </row>
    <row r="127" customFormat="false" ht="21.75" hidden="false" customHeight="true" outlineLevel="0" collapsed="false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41" t="str">
        <f aca="false">IF(H127="","",IF(H127="Win",J127+(F127*VALUE(MID(G127,FIND(":",G127)+1,LEN(G127)))),IF(H127="Loss",J127-F127,IF(H127="En cours","En cours",J127))))</f>
        <v/>
      </c>
      <c r="L127" s="37"/>
      <c r="M127" s="33"/>
      <c r="N127" s="33"/>
    </row>
    <row r="128" customFormat="false" ht="21.75" hidden="false" customHeight="true" outlineLevel="0" collapsed="false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9" t="str">
        <f aca="false">IF(H128="","",IF(H128="Win",J128+(F128*VALUE(MID(G128,FIND(":",G128)+1,LEN(G128)))),IF(H128="Loss",J128-F128,IF(H128="En cours","En cours",J128))))</f>
        <v/>
      </c>
      <c r="L128" s="40"/>
      <c r="M128" s="38"/>
      <c r="N128" s="38"/>
    </row>
    <row r="129" customFormat="false" ht="21.75" hidden="false" customHeight="true" outlineLevel="0" collapsed="false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41" t="str">
        <f aca="false">IF(H129="","",IF(H129="Win",J129+(F129*VALUE(MID(G129,FIND(":",G129)+1,LEN(G129)))),IF(H129="Loss",J129-F129,IF(H129="En cours","En cours",J129))))</f>
        <v/>
      </c>
      <c r="L129" s="37"/>
      <c r="M129" s="33"/>
      <c r="N129" s="33"/>
    </row>
    <row r="130" customFormat="false" ht="21.75" hidden="false" customHeight="true" outlineLevel="0" collapsed="false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9" t="str">
        <f aca="false">IF(H130="","",IF(H130="Win",J130+(F130*VALUE(MID(G130,FIND(":",G130)+1,LEN(G130)))),IF(H130="Loss",J130-F130,IF(H130="En cours","En cours",J130))))</f>
        <v/>
      </c>
      <c r="L130" s="40"/>
      <c r="M130" s="38"/>
      <c r="N130" s="38"/>
    </row>
    <row r="131" customFormat="false" ht="21.75" hidden="false" customHeight="true" outlineLevel="0" collapsed="false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41" t="str">
        <f aca="false">IF(H131="","",IF(H131="Win",J131+(F131*VALUE(MID(G131,FIND(":",G131)+1,LEN(G131)))),IF(H131="Loss",J131-F131,IF(H131="En cours","En cours",J131))))</f>
        <v/>
      </c>
      <c r="L131" s="37"/>
      <c r="M131" s="33"/>
      <c r="N131" s="33"/>
    </row>
    <row r="132" customFormat="false" ht="21.75" hidden="false" customHeight="true" outlineLevel="0" collapsed="false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9" t="str">
        <f aca="false">IF(H132="","",IF(H132="Win",J132+(F132*VALUE(MID(G132,FIND(":",G132)+1,LEN(G132)))),IF(H132="Loss",J132-F132,IF(H132="En cours","En cours",J132))))</f>
        <v/>
      </c>
      <c r="L132" s="40"/>
      <c r="M132" s="38"/>
      <c r="N132" s="38"/>
    </row>
    <row r="133" customFormat="false" ht="21.75" hidden="false" customHeight="true" outlineLevel="0" collapsed="false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41" t="str">
        <f aca="false">IF(H133="","",IF(H133="Win",J133+(F133*VALUE(MID(G133,FIND(":",G133)+1,LEN(G133)))),IF(H133="Loss",J133-F133,IF(H133="En cours","En cours",J133))))</f>
        <v/>
      </c>
      <c r="L133" s="37"/>
      <c r="M133" s="33"/>
      <c r="N133" s="33"/>
    </row>
    <row r="134" customFormat="false" ht="21.75" hidden="false" customHeight="true" outlineLevel="0" collapsed="false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9" t="str">
        <f aca="false">IF(H134="","",IF(H134="Win",J134+(F134*VALUE(MID(G134,FIND(":",G134)+1,LEN(G134)))),IF(H134="Loss",J134-F134,IF(H134="En cours","En cours",J134))))</f>
        <v/>
      </c>
      <c r="L134" s="40"/>
      <c r="M134" s="38"/>
      <c r="N134" s="38"/>
    </row>
    <row r="135" customFormat="false" ht="21.75" hidden="false" customHeight="true" outlineLevel="0" collapsed="false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41" t="str">
        <f aca="false">IF(H135="","",IF(H135="Win",J135+(F135*VALUE(MID(G135,FIND(":",G135)+1,LEN(G135)))),IF(H135="Loss",J135-F135,IF(H135="En cours","En cours",J135))))</f>
        <v/>
      </c>
      <c r="L135" s="37"/>
      <c r="M135" s="33"/>
      <c r="N135" s="33"/>
    </row>
    <row r="136" customFormat="false" ht="21.75" hidden="false" customHeight="true" outlineLevel="0" collapsed="false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9" t="str">
        <f aca="false">IF(H136="","",IF(H136="Win",J136+(F136*VALUE(MID(G136,FIND(":",G136)+1,LEN(G136)))),IF(H136="Loss",J136-F136,IF(H136="En cours","En cours",J136))))</f>
        <v/>
      </c>
      <c r="L136" s="40"/>
      <c r="M136" s="38"/>
      <c r="N136" s="38"/>
    </row>
    <row r="137" customFormat="false" ht="21.75" hidden="false" customHeight="true" outlineLevel="0" collapsed="false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41" t="str">
        <f aca="false">IF(H137="","",IF(H137="Win",J137+(F137*VALUE(MID(G137,FIND(":",G137)+1,LEN(G137)))),IF(H137="Loss",J137-F137,IF(H137="En cours","En cours",J137))))</f>
        <v/>
      </c>
      <c r="L137" s="37"/>
      <c r="M137" s="33"/>
      <c r="N137" s="33"/>
    </row>
    <row r="138" customFormat="false" ht="21.75" hidden="false" customHeight="true" outlineLevel="0" collapsed="false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9" t="str">
        <f aca="false">IF(H138="","",IF(H138="Win",J138+(F138*VALUE(MID(G138,FIND(":",G138)+1,LEN(G138)))),IF(H138="Loss",J138-F138,IF(H138="En cours","En cours",J138))))</f>
        <v/>
      </c>
      <c r="L138" s="40"/>
      <c r="M138" s="38"/>
      <c r="N138" s="38"/>
    </row>
    <row r="139" customFormat="false" ht="21.75" hidden="false" customHeight="true" outlineLevel="0" collapsed="false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41" t="str">
        <f aca="false">IF(H139="","",IF(H139="Win",J139+(F139*VALUE(MID(G139,FIND(":",G139)+1,LEN(G139)))),IF(H139="Loss",J139-F139,IF(H139="En cours","En cours",J139))))</f>
        <v/>
      </c>
      <c r="L139" s="37"/>
      <c r="M139" s="33"/>
      <c r="N139" s="33"/>
    </row>
    <row r="140" customFormat="false" ht="21.75" hidden="false" customHeight="true" outlineLevel="0" collapsed="false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9" t="str">
        <f aca="false">IF(H140="","",IF(H140="Win",J140+(F140*VALUE(MID(G140,FIND(":",G140)+1,LEN(G140)))),IF(H140="Loss",J140-F140,IF(H140="En cours","En cours",J140))))</f>
        <v/>
      </c>
      <c r="L140" s="40"/>
      <c r="M140" s="38"/>
      <c r="N140" s="38"/>
    </row>
    <row r="141" customFormat="false" ht="21.75" hidden="false" customHeight="true" outlineLevel="0" collapsed="false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41" t="str">
        <f aca="false">IF(H141="","",IF(H141="Win",J141+(F141*VALUE(MID(G141,FIND(":",G141)+1,LEN(G141)))),IF(H141="Loss",J141-F141,IF(H141="En cours","En cours",J141))))</f>
        <v/>
      </c>
      <c r="L141" s="37"/>
      <c r="M141" s="33"/>
      <c r="N141" s="33"/>
    </row>
    <row r="142" customFormat="false" ht="21.75" hidden="false" customHeight="true" outlineLevel="0" collapsed="false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9" t="str">
        <f aca="false">IF(H142="","",IF(H142="Win",J142+(F142*VALUE(MID(G142,FIND(":",G142)+1,LEN(G142)))),IF(H142="Loss",J142-F142,IF(H142="En cours","En cours",J142))))</f>
        <v/>
      </c>
      <c r="L142" s="40"/>
      <c r="M142" s="38"/>
      <c r="N142" s="38"/>
    </row>
    <row r="143" customFormat="false" ht="21.75" hidden="false" customHeight="true" outlineLevel="0" collapsed="false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41" t="str">
        <f aca="false">IF(H143="","",IF(H143="Win",J143+(F143*VALUE(MID(G143,FIND(":",G143)+1,LEN(G143)))),IF(H143="Loss",J143-F143,IF(H143="En cours","En cours",J143))))</f>
        <v/>
      </c>
      <c r="L143" s="37"/>
      <c r="M143" s="33"/>
      <c r="N143" s="33"/>
    </row>
    <row r="144" customFormat="false" ht="21.75" hidden="false" customHeight="true" outlineLevel="0" collapsed="false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9" t="str">
        <f aca="false">IF(H144="","",IF(H144="Win",J144+(F144*VALUE(MID(G144,FIND(":",G144)+1,LEN(G144)))),IF(H144="Loss",J144-F144,IF(H144="En cours","En cours",J144))))</f>
        <v/>
      </c>
      <c r="L144" s="40"/>
      <c r="M144" s="38"/>
      <c r="N144" s="38"/>
    </row>
    <row r="145" customFormat="false" ht="21.75" hidden="false" customHeight="true" outlineLevel="0" collapsed="false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41" t="str">
        <f aca="false">IF(H145="","",IF(H145="Win",J145+(F145*VALUE(MID(G145,FIND(":",G145)+1,LEN(G145)))),IF(H145="Loss",J145-F145,IF(H145="En cours","En cours",J145))))</f>
        <v/>
      </c>
      <c r="L145" s="37"/>
      <c r="M145" s="33"/>
      <c r="N145" s="33"/>
    </row>
    <row r="146" customFormat="false" ht="21.75" hidden="false" customHeight="true" outlineLevel="0" collapsed="false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9" t="str">
        <f aca="false">IF(H146="","",IF(H146="Win",J146+(F146*VALUE(MID(G146,FIND(":",G146)+1,LEN(G146)))),IF(H146="Loss",J146-F146,IF(H146="En cours","En cours",J146))))</f>
        <v/>
      </c>
      <c r="L146" s="40"/>
      <c r="M146" s="38"/>
      <c r="N146" s="38"/>
    </row>
    <row r="147" customFormat="false" ht="21.75" hidden="false" customHeight="true" outlineLevel="0" collapsed="false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41" t="str">
        <f aca="false">IF(H147="","",IF(H147="Win",J147+(F147*VALUE(MID(G147,FIND(":",G147)+1,LEN(G147)))),IF(H147="Loss",J147-F147,IF(H147="En cours","En cours",J147))))</f>
        <v/>
      </c>
      <c r="L147" s="37"/>
      <c r="M147" s="33"/>
      <c r="N147" s="33"/>
    </row>
    <row r="148" customFormat="false" ht="21.75" hidden="false" customHeight="true" outlineLevel="0" collapsed="false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9" t="str">
        <f aca="false">IF(H148="","",IF(H148="Win",J148+(F148*VALUE(MID(G148,FIND(":",G148)+1,LEN(G148)))),IF(H148="Loss",J148-F148,IF(H148="En cours","En cours",J148))))</f>
        <v/>
      </c>
      <c r="L148" s="40"/>
      <c r="M148" s="38"/>
      <c r="N148" s="38"/>
    </row>
    <row r="149" customFormat="false" ht="21.75" hidden="false" customHeight="true" outlineLevel="0" collapsed="false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41" t="str">
        <f aca="false">IF(H149="","",IF(H149="Win",J149+(F149*VALUE(MID(G149,FIND(":",G149)+1,LEN(G149)))),IF(H149="Loss",J149-F149,IF(H149="En cours","En cours",J149))))</f>
        <v/>
      </c>
      <c r="L149" s="37"/>
      <c r="M149" s="33"/>
      <c r="N149" s="33"/>
    </row>
    <row r="150" customFormat="false" ht="21.75" hidden="false" customHeight="true" outlineLevel="0" collapsed="false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9" t="str">
        <f aca="false">IF(H150="","",IF(H150="Win",J150+(F150*VALUE(MID(G150,FIND(":",G150)+1,LEN(G150)))),IF(H150="Loss",J150-F150,IF(H150="En cours","En cours",J150))))</f>
        <v/>
      </c>
      <c r="L150" s="40"/>
      <c r="M150" s="38"/>
      <c r="N150" s="38"/>
    </row>
    <row r="151" customFormat="false" ht="21.75" hidden="false" customHeight="true" outlineLevel="0" collapsed="false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41" t="str">
        <f aca="false">IF(H151="","",IF(H151="Win",J151+(F151*VALUE(MID(G151,FIND(":",G151)+1,LEN(G151)))),IF(H151="Loss",J151-F151,IF(H151="En cours","En cours",J151))))</f>
        <v/>
      </c>
      <c r="L151" s="37"/>
      <c r="M151" s="33"/>
      <c r="N151" s="33"/>
    </row>
    <row r="152" customFormat="false" ht="21.75" hidden="false" customHeight="true" outlineLevel="0" collapsed="false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9" t="str">
        <f aca="false">IF(H152="","",IF(H152="Win",J152+(F152*VALUE(MID(G152,FIND(":",G152)+1,LEN(G152)))),IF(H152="Loss",J152-F152,IF(H152="En cours","En cours",J152))))</f>
        <v/>
      </c>
      <c r="L152" s="40"/>
      <c r="M152" s="38"/>
      <c r="N152" s="38"/>
    </row>
    <row r="153" customFormat="false" ht="21.75" hidden="false" customHeight="true" outlineLevel="0" collapsed="false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41" t="str">
        <f aca="false">IF(H153="","",IF(H153="Win",J153+(F153*VALUE(MID(G153,FIND(":",G153)+1,LEN(G153)))),IF(H153="Loss",J153-F153,IF(H153="En cours","En cours",J153))))</f>
        <v/>
      </c>
      <c r="L153" s="37"/>
      <c r="M153" s="33"/>
      <c r="N153" s="33"/>
    </row>
    <row r="154" customFormat="false" ht="21.75" hidden="false" customHeight="true" outlineLevel="0" collapsed="false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9" t="str">
        <f aca="false">IF(H154="","",IF(H154="Win",J154+(F154*VALUE(MID(G154,FIND(":",G154)+1,LEN(G154)))),IF(H154="Loss",J154-F154,IF(H154="En cours","En cours",J154))))</f>
        <v/>
      </c>
      <c r="L154" s="40"/>
      <c r="M154" s="38"/>
      <c r="N154" s="38"/>
    </row>
    <row r="155" customFormat="false" ht="21.75" hidden="false" customHeight="true" outlineLevel="0" collapsed="false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41" t="str">
        <f aca="false">IF(H155="","",IF(H155="Win",J155+(F155*VALUE(MID(G155,FIND(":",G155)+1,LEN(G155)))),IF(H155="Loss",J155-F155,IF(H155="En cours","En cours",J155))))</f>
        <v/>
      </c>
      <c r="L155" s="37"/>
      <c r="M155" s="33"/>
      <c r="N155" s="33"/>
    </row>
    <row r="156" customFormat="false" ht="21.75" hidden="false" customHeight="true" outlineLevel="0" collapsed="false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9" t="str">
        <f aca="false">IF(H156="","",IF(H156="Win",J156+(F156*VALUE(MID(G156,FIND(":",G156)+1,LEN(G156)))),IF(H156="Loss",J156-F156,IF(H156="En cours","En cours",J156))))</f>
        <v/>
      </c>
      <c r="L156" s="40"/>
      <c r="M156" s="38"/>
      <c r="N156" s="38"/>
    </row>
    <row r="157" customFormat="false" ht="21.75" hidden="false" customHeight="true" outlineLevel="0" collapsed="false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41" t="str">
        <f aca="false">IF(H157="","",IF(H157="Win",J157+(F157*VALUE(MID(G157,FIND(":",G157)+1,LEN(G157)))),IF(H157="Loss",J157-F157,IF(H157="En cours","En cours",J157))))</f>
        <v/>
      </c>
      <c r="L157" s="37"/>
      <c r="M157" s="33"/>
      <c r="N157" s="33"/>
    </row>
    <row r="158" customFormat="false" ht="21.75" hidden="false" customHeight="true" outlineLevel="0" collapsed="false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9" t="str">
        <f aca="false">IF(H158="","",IF(H158="Win",J158+(F158*VALUE(MID(G158,FIND(":",G158)+1,LEN(G158)))),IF(H158="Loss",J158-F158,IF(H158="En cours","En cours",J158))))</f>
        <v/>
      </c>
      <c r="L158" s="40"/>
      <c r="M158" s="38"/>
      <c r="N158" s="38"/>
    </row>
    <row r="159" customFormat="false" ht="21.75" hidden="false" customHeight="true" outlineLevel="0" collapsed="false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41" t="str">
        <f aca="false">IF(H159="","",IF(H159="Win",J159+(F159*VALUE(MID(G159,FIND(":",G159)+1,LEN(G159)))),IF(H159="Loss",J159-F159,IF(H159="En cours","En cours",J159))))</f>
        <v/>
      </c>
      <c r="L159" s="37"/>
      <c r="M159" s="33"/>
      <c r="N159" s="33"/>
    </row>
    <row r="160" customFormat="false" ht="21.75" hidden="false" customHeight="true" outlineLevel="0" collapsed="false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9" t="str">
        <f aca="false">IF(H160="","",IF(H160="Win",J160+(F160*VALUE(MID(G160,FIND(":",G160)+1,LEN(G160)))),IF(H160="Loss",J160-F160,IF(H160="En cours","En cours",J160))))</f>
        <v/>
      </c>
      <c r="L160" s="40"/>
      <c r="M160" s="38"/>
      <c r="N160" s="38"/>
    </row>
    <row r="161" customFormat="false" ht="21.75" hidden="false" customHeight="true" outlineLevel="0" collapsed="false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41" t="str">
        <f aca="false">IF(H161="","",IF(H161="Win",J161+(F161*VALUE(MID(G161,FIND(":",G161)+1,LEN(G161)))),IF(H161="Loss",J161-F161,IF(H161="En cours","En cours",J161))))</f>
        <v/>
      </c>
      <c r="L161" s="37"/>
      <c r="M161" s="33"/>
      <c r="N161" s="33"/>
    </row>
    <row r="162" customFormat="false" ht="21.75" hidden="false" customHeight="true" outlineLevel="0" collapsed="false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9" t="str">
        <f aca="false">IF(H162="","",IF(H162="Win",J162+(F162*VALUE(MID(G162,FIND(":",G162)+1,LEN(G162)))),IF(H162="Loss",J162-F162,IF(H162="En cours","En cours",J162))))</f>
        <v/>
      </c>
      <c r="L162" s="40"/>
      <c r="M162" s="38"/>
      <c r="N162" s="38"/>
    </row>
    <row r="163" customFormat="false" ht="21.75" hidden="false" customHeight="true" outlineLevel="0" collapsed="false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41" t="str">
        <f aca="false">IF(H163="","",IF(H163="Win",J163+(F163*VALUE(MID(G163,FIND(":",G163)+1,LEN(G163)))),IF(H163="Loss",J163-F163,IF(H163="En cours","En cours",J163))))</f>
        <v/>
      </c>
      <c r="L163" s="37"/>
      <c r="M163" s="33"/>
      <c r="N163" s="33"/>
    </row>
    <row r="164" customFormat="false" ht="21.75" hidden="false" customHeight="true" outlineLevel="0" collapsed="false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9" t="str">
        <f aca="false">IF(H164="","",IF(H164="Win",J164+(F164*VALUE(MID(G164,FIND(":",G164)+1,LEN(G164)))),IF(H164="Loss",J164-F164,IF(H164="En cours","En cours",J164))))</f>
        <v/>
      </c>
      <c r="L164" s="40"/>
      <c r="M164" s="38"/>
      <c r="N164" s="38"/>
    </row>
    <row r="165" customFormat="false" ht="21.75" hidden="false" customHeight="true" outlineLevel="0" collapsed="false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41" t="str">
        <f aca="false">IF(H165="","",IF(H165="Win",J165+(F165*VALUE(MID(G165,FIND(":",G165)+1,LEN(G165)))),IF(H165="Loss",J165-F165,IF(H165="En cours","En cours",J165))))</f>
        <v/>
      </c>
      <c r="L165" s="37"/>
      <c r="M165" s="33"/>
      <c r="N165" s="33"/>
    </row>
    <row r="166" customFormat="false" ht="21.75" hidden="false" customHeight="true" outlineLevel="0" collapsed="false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9" t="str">
        <f aca="false">IF(H166="","",IF(H166="Win",J166+(F166*VALUE(MID(G166,FIND(":",G166)+1,LEN(G166)))),IF(H166="Loss",J166-F166,IF(H166="En cours","En cours",J166))))</f>
        <v/>
      </c>
      <c r="L166" s="40"/>
      <c r="M166" s="38"/>
      <c r="N166" s="38"/>
    </row>
    <row r="167" customFormat="false" ht="21.75" hidden="false" customHeight="true" outlineLevel="0" collapsed="false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41" t="str">
        <f aca="false">IF(H167="","",IF(H167="Win",J167+(F167*VALUE(MID(G167,FIND(":",G167)+1,LEN(G167)))),IF(H167="Loss",J167-F167,IF(H167="En cours","En cours",J167))))</f>
        <v/>
      </c>
      <c r="L167" s="37"/>
      <c r="M167" s="33"/>
      <c r="N167" s="33"/>
    </row>
    <row r="168" customFormat="false" ht="21.75" hidden="false" customHeight="true" outlineLevel="0" collapsed="false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9" t="str">
        <f aca="false">IF(H168="","",IF(H168="Win",J168+(F168*VALUE(MID(G168,FIND(":",G168)+1,LEN(G168)))),IF(H168="Loss",J168-F168,IF(H168="En cours","En cours",J168))))</f>
        <v/>
      </c>
      <c r="L168" s="40"/>
      <c r="M168" s="38"/>
      <c r="N168" s="38"/>
    </row>
    <row r="169" customFormat="false" ht="21.75" hidden="false" customHeight="true" outlineLevel="0" collapsed="false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41" t="str">
        <f aca="false">IF(H169="","",IF(H169="Win",J169+(F169*VALUE(MID(G169,FIND(":",G169)+1,LEN(G169)))),IF(H169="Loss",J169-F169,IF(H169="En cours","En cours",J169))))</f>
        <v/>
      </c>
      <c r="L169" s="37"/>
      <c r="M169" s="33"/>
      <c r="N169" s="33"/>
    </row>
    <row r="170" customFormat="false" ht="21.75" hidden="false" customHeight="true" outlineLevel="0" collapsed="false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9" t="str">
        <f aca="false">IF(H170="","",IF(H170="Win",J170+(F170*VALUE(MID(G170,FIND(":",G170)+1,LEN(G170)))),IF(H170="Loss",J170-F170,IF(H170="En cours","En cours",J170))))</f>
        <v/>
      </c>
      <c r="L170" s="40"/>
      <c r="M170" s="38"/>
      <c r="N170" s="38"/>
    </row>
    <row r="171" customFormat="false" ht="21.75" hidden="false" customHeight="true" outlineLevel="0" collapsed="false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41" t="str">
        <f aca="false">IF(H171="","",IF(H171="Win",J171+(F171*VALUE(MID(G171,FIND(":",G171)+1,LEN(G171)))),IF(H171="Loss",J171-F171,IF(H171="En cours","En cours",J171))))</f>
        <v/>
      </c>
      <c r="L171" s="37"/>
      <c r="M171" s="33"/>
      <c r="N171" s="33"/>
    </row>
    <row r="172" customFormat="false" ht="21.75" hidden="false" customHeight="true" outlineLevel="0" collapsed="false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9" t="str">
        <f aca="false">IF(H172="","",IF(H172="Win",J172+(F172*VALUE(MID(G172,FIND(":",G172)+1,LEN(G172)))),IF(H172="Loss",J172-F172,IF(H172="En cours","En cours",J172))))</f>
        <v/>
      </c>
      <c r="L172" s="40"/>
      <c r="M172" s="38"/>
      <c r="N172" s="38"/>
    </row>
    <row r="173" customFormat="false" ht="21.75" hidden="false" customHeight="true" outlineLevel="0" collapsed="false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41" t="str">
        <f aca="false">IF(H173="","",IF(H173="Win",J173+(F173*VALUE(MID(G173,FIND(":",G173)+1,LEN(G173)))),IF(H173="Loss",J173-F173,IF(H173="En cours","En cours",J173))))</f>
        <v/>
      </c>
      <c r="L173" s="37"/>
      <c r="M173" s="33"/>
      <c r="N173" s="33"/>
    </row>
    <row r="174" customFormat="false" ht="21.75" hidden="false" customHeight="true" outlineLevel="0" collapsed="false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9" t="str">
        <f aca="false">IF(H174="","",IF(H174="Win",J174+(F174*VALUE(MID(G174,FIND(":",G174)+1,LEN(G174)))),IF(H174="Loss",J174-F174,IF(H174="En cours","En cours",J174))))</f>
        <v/>
      </c>
      <c r="L174" s="40"/>
      <c r="M174" s="38"/>
      <c r="N174" s="38"/>
    </row>
    <row r="175" customFormat="false" ht="21.75" hidden="false" customHeight="true" outlineLevel="0" collapsed="false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41" t="str">
        <f aca="false">IF(H175="","",IF(H175="Win",J175+(F175*VALUE(MID(G175,FIND(":",G175)+1,LEN(G175)))),IF(H175="Loss",J175-F175,IF(H175="En cours","En cours",J175))))</f>
        <v/>
      </c>
      <c r="L175" s="37"/>
      <c r="M175" s="33"/>
      <c r="N175" s="33"/>
    </row>
    <row r="176" customFormat="false" ht="21.75" hidden="false" customHeight="true" outlineLevel="0" collapsed="false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9" t="str">
        <f aca="false">IF(H176="","",IF(H176="Win",J176+(F176*VALUE(MID(G176,FIND(":",G176)+1,LEN(G176)))),IF(H176="Loss",J176-F176,IF(H176="En cours","En cours",J176))))</f>
        <v/>
      </c>
      <c r="L176" s="40"/>
      <c r="M176" s="38"/>
      <c r="N176" s="38"/>
    </row>
    <row r="177" customFormat="false" ht="21.75" hidden="false" customHeight="true" outlineLevel="0" collapsed="false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41" t="str">
        <f aca="false">IF(H177="","",IF(H177="Win",J177+(F177*VALUE(MID(G177,FIND(":",G177)+1,LEN(G177)))),IF(H177="Loss",J177-F177,IF(H177="En cours","En cours",J177))))</f>
        <v/>
      </c>
      <c r="L177" s="37"/>
      <c r="M177" s="33"/>
      <c r="N177" s="33"/>
    </row>
    <row r="178" customFormat="false" ht="21.75" hidden="false" customHeight="true" outlineLevel="0" collapsed="false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9" t="str">
        <f aca="false">IF(H178="","",IF(H178="Win",J178+(F178*VALUE(MID(G178,FIND(":",G178)+1,LEN(G178)))),IF(H178="Loss",J178-F178,IF(H178="En cours","En cours",J178))))</f>
        <v/>
      </c>
      <c r="L178" s="40"/>
      <c r="M178" s="38"/>
      <c r="N178" s="38"/>
    </row>
    <row r="179" customFormat="false" ht="21.75" hidden="false" customHeight="true" outlineLevel="0" collapsed="false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41" t="str">
        <f aca="false">IF(H179="","",IF(H179="Win",J179+(F179*VALUE(MID(G179,FIND(":",G179)+1,LEN(G179)))),IF(H179="Loss",J179-F179,IF(H179="En cours","En cours",J179))))</f>
        <v/>
      </c>
      <c r="L179" s="37"/>
      <c r="M179" s="33"/>
      <c r="N179" s="33"/>
    </row>
    <row r="180" customFormat="false" ht="21.75" hidden="false" customHeight="true" outlineLevel="0" collapsed="false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9" t="str">
        <f aca="false">IF(H180="","",IF(H180="Win",J180+(F180*VALUE(MID(G180,FIND(":",G180)+1,LEN(G180)))),IF(H180="Loss",J180-F180,IF(H180="En cours","En cours",J180))))</f>
        <v/>
      </c>
      <c r="L180" s="40"/>
      <c r="M180" s="38"/>
      <c r="N180" s="38"/>
    </row>
    <row r="181" customFormat="false" ht="21.75" hidden="false" customHeight="true" outlineLevel="0" collapsed="false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41" t="str">
        <f aca="false">IF(H181="","",IF(H181="Win",J181+(F181*VALUE(MID(G181,FIND(":",G181)+1,LEN(G181)))),IF(H181="Loss",J181-F181,IF(H181="En cours","En cours",J181))))</f>
        <v/>
      </c>
      <c r="L181" s="37"/>
      <c r="M181" s="33"/>
      <c r="N181" s="33"/>
    </row>
    <row r="182" customFormat="false" ht="21.75" hidden="false" customHeight="true" outlineLevel="0" collapsed="false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9" t="str">
        <f aca="false">IF(H182="","",IF(H182="Win",J182+(F182*VALUE(MID(G182,FIND(":",G182)+1,LEN(G182)))),IF(H182="Loss",J182-F182,IF(H182="En cours","En cours",J182))))</f>
        <v/>
      </c>
      <c r="L182" s="40"/>
      <c r="M182" s="38"/>
      <c r="N182" s="38"/>
    </row>
    <row r="183" customFormat="false" ht="21.75" hidden="false" customHeight="true" outlineLevel="0" collapsed="false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41" t="str">
        <f aca="false">IF(H183="","",IF(H183="Win",J183+(F183*VALUE(MID(G183,FIND(":",G183)+1,LEN(G183)))),IF(H183="Loss",J183-F183,IF(H183="En cours","En cours",J183))))</f>
        <v/>
      </c>
      <c r="L183" s="37"/>
      <c r="M183" s="33"/>
      <c r="N183" s="33"/>
    </row>
    <row r="184" customFormat="false" ht="21.75" hidden="false" customHeight="true" outlineLevel="0" collapsed="false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9" t="str">
        <f aca="false">IF(H184="","",IF(H184="Win",J184+(F184*VALUE(MID(G184,FIND(":",G184)+1,LEN(G184)))),IF(H184="Loss",J184-F184,IF(H184="En cours","En cours",J184))))</f>
        <v/>
      </c>
      <c r="L184" s="40"/>
      <c r="M184" s="38"/>
      <c r="N184" s="38"/>
    </row>
    <row r="185" customFormat="false" ht="21.75" hidden="false" customHeight="true" outlineLevel="0" collapsed="false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41" t="str">
        <f aca="false">IF(H185="","",IF(H185="Win",J185+(F185*VALUE(MID(G185,FIND(":",G185)+1,LEN(G185)))),IF(H185="Loss",J185-F185,IF(H185="En cours","En cours",J185))))</f>
        <v/>
      </c>
      <c r="L185" s="37"/>
      <c r="M185" s="33"/>
      <c r="N185" s="33"/>
    </row>
    <row r="186" customFormat="false" ht="21.75" hidden="false" customHeight="true" outlineLevel="0" collapsed="false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9" t="str">
        <f aca="false">IF(H186="","",IF(H186="Win",J186+(F186*VALUE(MID(G186,FIND(":",G186)+1,LEN(G186)))),IF(H186="Loss",J186-F186,IF(H186="En cours","En cours",J186))))</f>
        <v/>
      </c>
      <c r="L186" s="40"/>
      <c r="M186" s="38"/>
      <c r="N186" s="38"/>
    </row>
    <row r="187" customFormat="false" ht="21.75" hidden="false" customHeight="true" outlineLevel="0" collapsed="false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41" t="str">
        <f aca="false">IF(H187="","",IF(H187="Win",J187+(F187*VALUE(MID(G187,FIND(":",G187)+1,LEN(G187)))),IF(H187="Loss",J187-F187,IF(H187="En cours","En cours",J187))))</f>
        <v/>
      </c>
      <c r="L187" s="37"/>
      <c r="M187" s="33"/>
      <c r="N187" s="33"/>
    </row>
    <row r="188" customFormat="false" ht="21.75" hidden="false" customHeight="true" outlineLevel="0" collapsed="false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9" t="str">
        <f aca="false">IF(H188="","",IF(H188="Win",J188+(F188*VALUE(MID(G188,FIND(":",G188)+1,LEN(G188)))),IF(H188="Loss",J188-F188,IF(H188="En cours","En cours",J188))))</f>
        <v/>
      </c>
      <c r="L188" s="40"/>
      <c r="M188" s="38"/>
      <c r="N188" s="38"/>
    </row>
    <row r="189" customFormat="false" ht="21.75" hidden="false" customHeight="true" outlineLevel="0" collapsed="false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41" t="str">
        <f aca="false">IF(H189="","",IF(H189="Win",J189+(F189*VALUE(MID(G189,FIND(":",G189)+1,LEN(G189)))),IF(H189="Loss",J189-F189,IF(H189="En cours","En cours",J189))))</f>
        <v/>
      </c>
      <c r="L189" s="37"/>
      <c r="M189" s="33"/>
      <c r="N189" s="33"/>
    </row>
    <row r="190" customFormat="false" ht="21.75" hidden="false" customHeight="true" outlineLevel="0" collapsed="false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9" t="str">
        <f aca="false">IF(H190="","",IF(H190="Win",J190+(F190*VALUE(MID(G190,FIND(":",G190)+1,LEN(G190)))),IF(H190="Loss",J190-F190,IF(H190="En cours","En cours",J190))))</f>
        <v/>
      </c>
      <c r="L190" s="40"/>
      <c r="M190" s="38"/>
      <c r="N190" s="38"/>
    </row>
    <row r="191" customFormat="false" ht="21.75" hidden="false" customHeight="true" outlineLevel="0" collapsed="false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41" t="str">
        <f aca="false">IF(H191="","",IF(H191="Win",J191+(F191*VALUE(MID(G191,FIND(":",G191)+1,LEN(G191)))),IF(H191="Loss",J191-F191,IF(H191="En cours","En cours",J191))))</f>
        <v/>
      </c>
      <c r="L191" s="37"/>
      <c r="M191" s="33"/>
      <c r="N191" s="33"/>
    </row>
    <row r="192" customFormat="false" ht="21.75" hidden="false" customHeight="true" outlineLevel="0" collapsed="false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9" t="str">
        <f aca="false">IF(H192="","",IF(H192="Win",J192+(F192*VALUE(MID(G192,FIND(":",G192)+1,LEN(G192)))),IF(H192="Loss",J192-F192,IF(H192="En cours","En cours",J192))))</f>
        <v/>
      </c>
      <c r="L192" s="40"/>
      <c r="M192" s="38"/>
      <c r="N192" s="38"/>
    </row>
    <row r="193" customFormat="false" ht="21.75" hidden="false" customHeight="true" outlineLevel="0" collapsed="false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41" t="str">
        <f aca="false">IF(H193="","",IF(H193="Win",J193+(F193*VALUE(MID(G193,FIND(":",G193)+1,LEN(G193)))),IF(H193="Loss",J193-F193,IF(H193="En cours","En cours",J193))))</f>
        <v/>
      </c>
      <c r="L193" s="37"/>
      <c r="M193" s="33"/>
      <c r="N193" s="33"/>
    </row>
    <row r="194" customFormat="false" ht="21.75" hidden="false" customHeight="true" outlineLevel="0" collapsed="false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9" t="str">
        <f aca="false">IF(H194="","",IF(H194="Win",J194+(F194*VALUE(MID(G194,FIND(":",G194)+1,LEN(G194)))),IF(H194="Loss",J194-F194,IF(H194="En cours","En cours",J194))))</f>
        <v/>
      </c>
      <c r="L194" s="40"/>
      <c r="M194" s="38"/>
      <c r="N194" s="38"/>
    </row>
    <row r="195" customFormat="false" ht="21.75" hidden="false" customHeight="true" outlineLevel="0" collapsed="false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41" t="str">
        <f aca="false">IF(H195="","",IF(H195="Win",J195+(F195*VALUE(MID(G195,FIND(":",G195)+1,LEN(G195)))),IF(H195="Loss",J195-F195,IF(H195="En cours","En cours",J195))))</f>
        <v/>
      </c>
      <c r="L195" s="37"/>
      <c r="M195" s="33"/>
      <c r="N195" s="33"/>
    </row>
    <row r="196" customFormat="false" ht="21.75" hidden="false" customHeight="true" outlineLevel="0" collapsed="false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9" t="str">
        <f aca="false">IF(H196="","",IF(H196="Win",J196+(F196*VALUE(MID(G196,FIND(":",G196)+1,LEN(G196)))),IF(H196="Loss",J196-F196,IF(H196="En cours","En cours",J196))))</f>
        <v/>
      </c>
      <c r="L196" s="40"/>
      <c r="M196" s="38"/>
      <c r="N196" s="38"/>
    </row>
    <row r="197" customFormat="false" ht="21.75" hidden="false" customHeight="true" outlineLevel="0" collapsed="false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41" t="str">
        <f aca="false">IF(H197="","",IF(H197="Win",J197+(F197*VALUE(MID(G197,FIND(":",G197)+1,LEN(G197)))),IF(H197="Loss",J197-F197,IF(H197="En cours","En cours",J197))))</f>
        <v/>
      </c>
      <c r="L197" s="37"/>
      <c r="M197" s="33"/>
      <c r="N197" s="33"/>
    </row>
    <row r="198" customFormat="false" ht="21.75" hidden="false" customHeight="true" outlineLevel="0" collapsed="false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9" t="str">
        <f aca="false">IF(H198="","",IF(H198="Win",J198+(F198*VALUE(MID(G198,FIND(":",G198)+1,LEN(G198)))),IF(H198="Loss",J198-F198,IF(H198="En cours","En cours",J198))))</f>
        <v/>
      </c>
      <c r="L198" s="40"/>
      <c r="M198" s="38"/>
      <c r="N198" s="38"/>
    </row>
    <row r="199" customFormat="false" ht="21.75" hidden="false" customHeight="true" outlineLevel="0" collapsed="false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41" t="str">
        <f aca="false">IF(H199="","",IF(H199="Win",J199+(F199*VALUE(MID(G199,FIND(":",G199)+1,LEN(G199)))),IF(H199="Loss",J199-F199,IF(H199="En cours","En cours",J199))))</f>
        <v/>
      </c>
      <c r="L199" s="37"/>
      <c r="M199" s="33"/>
      <c r="N199" s="33"/>
    </row>
    <row r="200" customFormat="false" ht="21.75" hidden="false" customHeight="true" outlineLevel="0" collapsed="false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9" t="str">
        <f aca="false">IF(H200="","",IF(H200="Win",J200+(F200*VALUE(MID(G200,FIND(":",G200)+1,LEN(G200)))),IF(H200="Loss",J200-F200,IF(H200="En cours","En cours",J200))))</f>
        <v/>
      </c>
      <c r="L200" s="40"/>
      <c r="M200" s="38"/>
      <c r="N200" s="38"/>
    </row>
    <row r="201" customFormat="false" ht="21.75" hidden="false" customHeight="true" outlineLevel="0" collapsed="false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41" t="str">
        <f aca="false">IF(H201="","",IF(H201="Win",J201+(F201*VALUE(MID(G201,FIND(":",G201)+1,LEN(G201)))),IF(H201="Loss",J201-F201,IF(H201="En cours","En cours",J201))))</f>
        <v/>
      </c>
      <c r="L201" s="37"/>
      <c r="M201" s="33"/>
      <c r="N201" s="33"/>
    </row>
  </sheetData>
  <conditionalFormatting sqref="H1:H1048576">
    <cfRule type="cellIs" priority="2" operator="equal" aboveAverage="0" equalAverage="0" bottom="0" percent="0" rank="0" text="" dxfId="14">
      <formula>"Loss"</formula>
    </cfRule>
    <cfRule type="cellIs" priority="3" operator="equal" aboveAverage="0" equalAverage="0" bottom="0" percent="0" rank="0" text="" dxfId="15">
      <formula>"En cours"</formula>
    </cfRule>
    <cfRule type="cellIs" priority="4" operator="equal" aboveAverage="0" equalAverage="0" bottom="0" percent="0" rank="0" text="" dxfId="16">
      <formula>"Lost"</formula>
    </cfRule>
    <cfRule type="cellIs" priority="5" operator="equal" aboveAverage="0" equalAverage="0" bottom="0" percent="0" rank="0" text="" dxfId="17">
      <formula>"Win"</formula>
    </cfRule>
  </conditionalFormatting>
  <conditionalFormatting sqref="H4">
    <cfRule type="cellIs" priority="6" operator="equal" aboveAverage="0" equalAverage="0" bottom="0" percent="0" rank="0" text="" dxfId="18">
      <formula>"En cours"</formula>
    </cfRule>
  </conditionalFormatting>
  <conditionalFormatting sqref="H3">
    <cfRule type="cellIs" priority="7" operator="equal" aboveAverage="0" equalAverage="0" bottom="0" percent="0" rank="0" text="" dxfId="19">
      <formula>"Win"</formula>
    </cfRule>
    <cfRule type="cellIs" priority="8" operator="equal" aboveAverage="0" equalAverage="0" bottom="0" percent="0" rank="0" text="" dxfId="20">
      <formula>"Lost"</formula>
    </cfRule>
  </conditionalFormatting>
  <conditionalFormatting sqref="H2">
    <cfRule type="cellIs" priority="9" operator="equal" aboveAverage="0" equalAverage="0" bottom="0" percent="0" rank="0" text="" dxfId="21">
      <formula>"Win"</formula>
    </cfRule>
    <cfRule type="cellIs" priority="10" operator="equal" aboveAverage="0" equalAverage="0" bottom="0" percent="0" rank="0" text="" dxfId="16">
      <formula>"Lost"</formula>
    </cfRule>
    <cfRule type="cellIs" priority="11" operator="equal" aboveAverage="0" equalAverage="0" bottom="0" percent="0" rank="0" text="" dxfId="17">
      <formula>"Win"</formula>
    </cfRule>
  </conditionalFormatting>
  <conditionalFormatting sqref="E2:F2">
    <cfRule type="cellIs" priority="12" operator="equal" aboveAverage="0" equalAverage="0" bottom="0" percent="0" rank="0" text="" dxfId="22">
      <formula>"Sell"</formula>
    </cfRule>
    <cfRule type="cellIs" priority="13" operator="equal" aboveAverage="0" equalAverage="0" bottom="0" percent="0" rank="0" text="" dxfId="23">
      <formula>"Buy"</formula>
    </cfRule>
  </conditionalFormatting>
  <conditionalFormatting sqref="E3:F3">
    <cfRule type="cellIs" priority="14" operator="equal" aboveAverage="0" equalAverage="0" bottom="0" percent="0" rank="0" text="" dxfId="24">
      <formula>"Sell"</formula>
    </cfRule>
  </conditionalFormatting>
  <conditionalFormatting sqref="E1:F1048576">
    <cfRule type="cellIs" priority="15" operator="equal" aboveAverage="0" equalAverage="0" bottom="0" percent="0" rank="0" text="" dxfId="25">
      <formula>"Buy"</formula>
    </cfRule>
  </conditionalFormatting>
  <conditionalFormatting sqref="H5">
    <cfRule type="cellIs" priority="16" operator="equal" aboveAverage="0" equalAverage="0" bottom="0" percent="0" rank="0" text="" dxfId="16">
      <formula>"Lost"</formula>
    </cfRule>
  </conditionalFormatting>
  <dataValidations count="10">
    <dataValidation allowBlank="true" errorStyle="stop" operator="between" showDropDown="false" showErrorMessage="true" showInputMessage="true" sqref="E1:E1201" type="list">
      <formula1>"Buy,Sell"</formula1>
      <formula2>0</formula2>
    </dataValidation>
    <dataValidation allowBlank="true" errorStyle="stop" operator="between" showDropDown="false" showErrorMessage="true" showInputMessage="true" sqref="A1:A1201" type="date">
      <formula1>43831</formula1>
      <formula2>49674</formula2>
    </dataValidation>
    <dataValidation allowBlank="true" errorStyle="stop" operator="between" showDropDown="false" showErrorMessage="true" showInputMessage="true" sqref="H1 H202:H1201" type="list">
      <formula1>"Win,Lost,En cours"</formula1>
      <formula2>0</formula2>
    </dataValidation>
    <dataValidation allowBlank="true" errorStyle="stop" operator="between" showDropDown="false" showErrorMessage="true" showInputMessage="true" sqref="D1:D1201" type="list">
      <formula1>"Heltrading ( DKH )"</formula1>
      <formula2>0</formula2>
    </dataValidation>
    <dataValidation allowBlank="true" errorStyle="stop" operator="between" showDropDown="false" showErrorMessage="true" showInputMessage="true" sqref="B1:B3 B5:B1201" type="list">
      <formula1>"BTCUSD,CADJPY,CHFJPY,EURJPY,EURUSD,GBPUSD,NZDUSD,US100,US30,USDJPY,XAUUSD,EURNZD,GBPJPY"</formula1>
      <formula2>0</formula2>
    </dataValidation>
    <dataValidation allowBlank="true" errorStyle="stop" operator="between" showDropDown="false" showErrorMessage="true" showInputMessage="true" sqref="B4" type="list">
      <formula1>"BTCUSD,CADJPY,CHFJPY,EURJPY,EURUSD,GBPUSD,GBPNZD,NZDUSD,US100,US30,USDJPY,XAUUSD,EURNZD,GBPJPY,"</formula1>
      <formula2>0</formula2>
    </dataValidation>
    <dataValidation allowBlank="true" errorStyle="stop" operator="between" prompt="Sélectionnez votre état émotionnel" promptTitle="État Émotionnel" showDropDown="false" showErrorMessage="false" showInputMessage="true" sqref="N2:N201" type="list">
      <formula1>"Calme,Confiant,Hésitant,Stressé,Euphorique,Neutre,Fatigué,Revanche"</formula1>
      <formula2>0</formula2>
    </dataValidation>
    <dataValidation allowBlank="true" errorStyle="stop" operator="between" showDropDown="false" showErrorMessage="false" showInputMessage="false" sqref="H2:H201" type="list">
      <formula1>"Win,Loss,En cours"</formula1>
      <formula2>0</formula2>
    </dataValidation>
    <dataValidation allowBlank="true" errorStyle="stop" operator="between" showDropDown="false" showErrorMessage="true" showInputMessage="true" sqref="C1:C1201" type="list">
      <formula1>0</formula1>
      <formula2>0</formula2>
    </dataValidation>
    <dataValidation allowBlank="true" errorStyle="stop" operator="between" showDropDown="false" showErrorMessage="true" showInputMessage="true" sqref="G1:G1201" type="list">
      <formula1>"1:2 ,1:3 ,1:4 ,1:5,1:6 ,1:7 ,1:8 ,1:9,1:10,1:19"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</cols>
  <sheetData>
    <row r="1" customFormat="false" ht="31.5" hidden="false" customHeight="true" outlineLevel="0" collapsed="false">
      <c r="A1" s="42" t="s">
        <v>37</v>
      </c>
      <c r="B1" s="42"/>
    </row>
    <row r="2" customFormat="false" ht="25.5" hidden="false" customHeight="true" outlineLevel="0" collapsed="false">
      <c r="A2" s="43" t="s">
        <v>38</v>
      </c>
      <c r="B2" s="44" t="n">
        <f aca="false">COUNTA('Trading Journal'!A2:A201)</f>
        <v>4</v>
      </c>
    </row>
    <row r="3" customFormat="false" ht="25.5" hidden="false" customHeight="true" outlineLevel="0" collapsed="false">
      <c r="A3" s="43" t="s">
        <v>39</v>
      </c>
      <c r="B3" s="45" t="n">
        <f aca="false">COUNTIF('Trading Journal'!H2:H201,"Win")</f>
        <v>2</v>
      </c>
    </row>
    <row r="4" customFormat="false" ht="25.5" hidden="false" customHeight="true" outlineLevel="0" collapsed="false">
      <c r="A4" s="43" t="s">
        <v>40</v>
      </c>
      <c r="B4" s="46" t="n">
        <f aca="false">COUNTIF('Trading Journal'!H2:H201,"Loss")</f>
        <v>1</v>
      </c>
    </row>
    <row r="5" customFormat="false" ht="25.5" hidden="false" customHeight="true" outlineLevel="0" collapsed="false">
      <c r="A5" s="43" t="s">
        <v>41</v>
      </c>
      <c r="B5" s="47" t="n">
        <f aca="false">COUNTIF('Trading Journal'!H2:H201,"En cours")</f>
        <v>1</v>
      </c>
    </row>
    <row r="6" customFormat="false" ht="25.5" hidden="false" customHeight="true" outlineLevel="0" collapsed="false">
      <c r="A6" s="43" t="s">
        <v>42</v>
      </c>
      <c r="B6" s="44" t="str">
        <f aca="false">IF(B3+B4=0,"",ROUND(B3/(B3+B4)*100,1)&amp;"%")</f>
        <v>66.7%</v>
      </c>
    </row>
    <row r="7" customFormat="false" ht="25.5" hidden="false" customHeight="true" outlineLevel="0" collapsed="false">
      <c r="A7" s="43" t="s">
        <v>43</v>
      </c>
      <c r="B7" s="48" t="n">
        <f aca="false">'Trading Journal'!J2</f>
        <v>20</v>
      </c>
    </row>
    <row r="8" customFormat="false" ht="25.5" hidden="false" customHeight="true" outlineLevel="0" collapsed="false">
      <c r="A8" s="43" t="s">
        <v>44</v>
      </c>
      <c r="B8" s="49" t="str">
        <f aca="false">IFERROR(LOOKUP(2,1/('Trading Journal'!K2:K201&lt;&gt;""),'Trading Journal'!K2:K201),"—")</f>
        <v>En cours</v>
      </c>
    </row>
    <row r="9" customFormat="false" ht="25.5" hidden="false" customHeight="true" outlineLevel="0" collapsed="false">
      <c r="A9" s="43" t="s">
        <v>45</v>
      </c>
      <c r="B9" s="49" t="n">
        <f aca="false">IFERROR(SUMIF('Trading Journal'!H2:H201,"Win",'Trading Journal'!K2:K201)-SUMIF('Trading Journal'!H2:H201,"Win",'Trading Journal'!J2:J201)-(SUMIF('Trading Journal'!H2:H201,"Loss",'Trading Journal'!F2:F201)),0)</f>
        <v>25.03</v>
      </c>
    </row>
    <row r="10" customFormat="false" ht="25.5" hidden="false" customHeight="true" outlineLevel="0" collapsed="false">
      <c r="A10" s="43" t="s">
        <v>46</v>
      </c>
      <c r="B10" s="48" t="n">
        <f aca="false">IFERROR(AVERAGEIF('Trading Journal'!H2:H201,"&lt;&gt;",'Trading Journal'!F2:F201),"—")</f>
        <v>7.4525</v>
      </c>
    </row>
    <row r="11" customFormat="false" ht="25.5" hidden="false" customHeight="true" outlineLevel="0" collapsed="false">
      <c r="A11" s="43" t="s">
        <v>47</v>
      </c>
      <c r="B11" s="45" t="n">
        <f aca="false">IFERROR(SUMIF('Trading Journal'!H2:H201,"Win",'Trading Journal'!I2:I201),0)</f>
        <v>407</v>
      </c>
    </row>
    <row r="12" customFormat="false" ht="25.5" hidden="false" customHeight="true" outlineLevel="0" collapsed="false">
      <c r="A12" s="43" t="s">
        <v>48</v>
      </c>
      <c r="B12" s="45" t="n">
        <f aca="false">IFERROR(MAX(IF('Trading Journal'!H2:H201="Win",VALUE(RIGHT('Trading Journal'!G2:G201,1)))),"—")</f>
        <v>0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2026-03-11T07:56:22Z</dcterms:created>
  <dc:creator>openpyxl</dc:creator>
  <dc:description/>
  <dc:language>en-US</dc:language>
  <cp:lastModifiedBy>DELL</cp:lastModifiedBy>
  <dcterms:modified xsi:type="dcterms:W3CDTF">2026-03-18T07:42:13Z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